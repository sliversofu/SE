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105" windowWidth="20955" windowHeight="9975" activeTab="2"/>
  </bookViews>
  <sheets>
    <sheet name="Trend" sheetId="1" r:id="rId1"/>
    <sheet name="2N3G" sheetId="2" r:id="rId2"/>
    <sheet name="PSRule" sheetId="3" r:id="rId3"/>
  </sheets>
  <calcPr calcId="125725"/>
</workbook>
</file>

<file path=xl/calcChain.xml><?xml version="1.0" encoding="utf-8"?>
<calcChain xmlns="http://schemas.openxmlformats.org/spreadsheetml/2006/main">
  <c r="C12" i="3"/>
  <c r="C11"/>
  <c r="C10"/>
  <c r="E124" i="2"/>
  <c r="E125"/>
  <c r="E126"/>
  <c r="C17" i="3"/>
  <c r="C18"/>
  <c r="C19"/>
  <c r="E112" i="2" l="1"/>
  <c r="E113"/>
  <c r="E114"/>
  <c r="E115"/>
  <c r="E116"/>
  <c r="E117"/>
  <c r="E118"/>
  <c r="E119"/>
  <c r="E120"/>
  <c r="E121"/>
  <c r="E122"/>
  <c r="E123"/>
  <c r="E107"/>
  <c r="E108"/>
  <c r="E109"/>
  <c r="E110"/>
  <c r="E111"/>
  <c r="E98"/>
  <c r="E99"/>
  <c r="E100"/>
  <c r="E101"/>
  <c r="E102"/>
  <c r="E103"/>
  <c r="E104"/>
  <c r="E105"/>
  <c r="E106"/>
  <c r="E94"/>
  <c r="E95"/>
  <c r="E96"/>
  <c r="E97"/>
  <c r="E91"/>
  <c r="E92"/>
  <c r="E9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3"/>
</calcChain>
</file>

<file path=xl/sharedStrings.xml><?xml version="1.0" encoding="utf-8"?>
<sst xmlns="http://schemas.openxmlformats.org/spreadsheetml/2006/main" count="67" uniqueCount="51">
  <si>
    <t>Gb mode PDP Context SGSN Success Ratio(%)</t>
  </si>
  <si>
    <t>&gt;95%</t>
  </si>
  <si>
    <t>Gb mode max act PDP context</t>
  </si>
  <si>
    <t>&lt;80000</t>
  </si>
  <si>
    <t>Iu Mode PDP context SGSN Success Ratio(%)</t>
  </si>
  <si>
    <t>Iu mode max act PDP context</t>
  </si>
  <si>
    <t>GGSN Maximum simultaneously activated PDP contexts</t>
  </si>
  <si>
    <t>&lt;160000</t>
  </si>
  <si>
    <t>Gb mode GPRS attach request times</t>
  </si>
  <si>
    <t>NA</t>
  </si>
  <si>
    <t>Gb mode GPRS attach Rate(%)</t>
  </si>
  <si>
    <t>Iu mode GPRS attach request times</t>
  </si>
  <si>
    <t>Iu mode GPRS attach Rate (%)</t>
  </si>
  <si>
    <t>Gb mode max attached users(2G)</t>
  </si>
  <si>
    <t>&lt;360000</t>
  </si>
  <si>
    <t>Iu mode max attached users(3G)</t>
  </si>
  <si>
    <t>&lt;280000</t>
  </si>
  <si>
    <t>SGSN attached user</t>
  </si>
  <si>
    <t>Uplink peak throughput Max(Kb/sec)</t>
  </si>
  <si>
    <t>&lt;475000</t>
  </si>
  <si>
    <t>Gi Uplink Utilzation Rate (%)</t>
  </si>
  <si>
    <t>&lt; 95%</t>
  </si>
  <si>
    <t>Downlink peak throughput Max(Kb/sec)</t>
  </si>
  <si>
    <t>Gi Downlink Utilzation Rate (%)</t>
  </si>
  <si>
    <t>CPU Usage of SGSN(Peak) (%)</t>
  </si>
  <si>
    <t>&lt;80%</t>
  </si>
  <si>
    <t>CPU Usage of GGSN(Peak) (%)</t>
  </si>
  <si>
    <t>Total messages handled for Local Subsystem (times)</t>
  </si>
  <si>
    <t>Total messages intended for local subsystems (times)</t>
  </si>
  <si>
    <t>Intra SGSN RAU</t>
  </si>
  <si>
    <t>&gt;90%</t>
  </si>
  <si>
    <t>Date</t>
  </si>
  <si>
    <t>2G Sub in VLR</t>
  </si>
  <si>
    <t>3G Sub in VLR</t>
  </si>
  <si>
    <t>Throughput</t>
  </si>
  <si>
    <t>AVG</t>
  </si>
  <si>
    <t>Gn utilization (Kb/sec)</t>
  </si>
  <si>
    <t>Parameter</t>
  </si>
  <si>
    <t>Total 2G Subscribers</t>
  </si>
  <si>
    <t>2G SAU</t>
  </si>
  <si>
    <t>2G PDP</t>
  </si>
  <si>
    <t xml:space="preserve">Average attached ratio of PS subscribers @ BH </t>
  </si>
  <si>
    <t xml:space="preserve">Activity Ratio of attached subscribers @ BH (%) </t>
  </si>
  <si>
    <t>Average Traffic per Subscriber Context @ BH (kbps)</t>
  </si>
  <si>
    <t>Total 3G Subscribers</t>
  </si>
  <si>
    <t>3G SAU</t>
  </si>
  <si>
    <t>3G PDP</t>
  </si>
  <si>
    <t>Privously Design</t>
  </si>
  <si>
    <t>Proposed Design</t>
  </si>
  <si>
    <t>3G Throughput (Mbps)</t>
  </si>
  <si>
    <t>2G Throughput (Mbps)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</si>
</sst>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[$-409]d\-mmm\-yy;@"/>
    <numFmt numFmtId="165" formatCode="0.00;[Red]0.00"/>
    <numFmt numFmtId="166" formatCode="#,##0;[Red]#,##0"/>
    <numFmt numFmtId="167" formatCode="[$-409]dd\-mmm\-yy;@"/>
  </numFmts>
  <fonts count="10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8"/>
      <name val="Calibri"/>
      <family val="2"/>
    </font>
    <font>
      <sz val="12"/>
      <name val="Calibri"/>
      <family val="2"/>
    </font>
    <font>
      <sz val="12"/>
      <color indexed="59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40">
    <xf numFmtId="0" fontId="0" fillId="0" borderId="0" xfId="0"/>
    <xf numFmtId="15" fontId="0" fillId="0" borderId="0" xfId="0" applyNumberFormat="1"/>
    <xf numFmtId="10" fontId="0" fillId="0" borderId="0" xfId="0" applyNumberFormat="1"/>
    <xf numFmtId="0" fontId="0" fillId="0" borderId="0" xfId="0" applyFont="1"/>
    <xf numFmtId="15" fontId="0" fillId="3" borderId="0" xfId="0" applyNumberFormat="1" applyFont="1" applyFill="1"/>
    <xf numFmtId="0" fontId="3" fillId="3" borderId="2" xfId="0" applyFont="1" applyFill="1" applyBorder="1" applyAlignment="1">
      <alignment horizontal="center" vertical="center"/>
    </xf>
    <xf numFmtId="9" fontId="3" fillId="3" borderId="2" xfId="0" applyNumberFormat="1" applyFont="1" applyFill="1" applyBorder="1" applyAlignment="1">
      <alignment horizontal="center" vertical="center"/>
    </xf>
    <xf numFmtId="15" fontId="0" fillId="0" borderId="2" xfId="0" applyNumberFormat="1" applyBorder="1"/>
    <xf numFmtId="10" fontId="0" fillId="0" borderId="2" xfId="0" applyNumberFormat="1" applyBorder="1"/>
    <xf numFmtId="0" fontId="0" fillId="0" borderId="2" xfId="0" applyBorder="1"/>
    <xf numFmtId="0" fontId="4" fillId="4" borderId="2" xfId="0" applyFont="1" applyFill="1" applyBorder="1" applyAlignment="1">
      <alignment horizontal="center"/>
    </xf>
    <xf numFmtId="164" fontId="0" fillId="0" borderId="2" xfId="0" applyNumberFormat="1" applyBorder="1"/>
    <xf numFmtId="165" fontId="0" fillId="0" borderId="0" xfId="0" applyNumberFormat="1" applyAlignment="1">
      <alignment horizontal="center"/>
    </xf>
    <xf numFmtId="15" fontId="1" fillId="2" borderId="0" xfId="0" applyNumberFormat="1" applyFont="1" applyFill="1" applyAlignment="1">
      <alignment wrapText="1"/>
    </xf>
    <xf numFmtId="10" fontId="2" fillId="2" borderId="1" xfId="0" applyNumberFormat="1" applyFont="1" applyFill="1" applyBorder="1" applyAlignment="1">
      <alignment horizontal="left" textRotation="90" wrapText="1"/>
    </xf>
    <xf numFmtId="0" fontId="2" fillId="2" borderId="1" xfId="0" applyFont="1" applyFill="1" applyBorder="1" applyAlignment="1">
      <alignment horizontal="left" textRotation="90" wrapText="1"/>
    </xf>
    <xf numFmtId="0" fontId="2" fillId="2" borderId="2" xfId="0" applyFont="1" applyFill="1" applyBorder="1" applyAlignment="1">
      <alignment textRotation="90" wrapText="1"/>
    </xf>
    <xf numFmtId="0" fontId="2" fillId="2" borderId="1" xfId="0" applyFont="1" applyFill="1" applyBorder="1" applyAlignment="1">
      <alignment textRotation="90" wrapText="1"/>
    </xf>
    <xf numFmtId="0" fontId="5" fillId="5" borderId="3" xfId="0" applyNumberFormat="1" applyFont="1" applyFill="1" applyBorder="1" applyAlignment="1">
      <alignment horizontal="center" vertical="center" wrapText="1" readingOrder="1"/>
    </xf>
    <xf numFmtId="0" fontId="6" fillId="0" borderId="4" xfId="0" applyNumberFormat="1" applyFont="1" applyFill="1" applyBorder="1" applyAlignment="1">
      <alignment horizontal="center" readingOrder="1"/>
    </xf>
    <xf numFmtId="0" fontId="6" fillId="0" borderId="5" xfId="0" applyNumberFormat="1" applyFont="1" applyFill="1" applyBorder="1" applyAlignment="1">
      <alignment horizontal="center" readingOrder="1"/>
    </xf>
    <xf numFmtId="0" fontId="7" fillId="0" borderId="5" xfId="0" applyNumberFormat="1" applyFont="1" applyFill="1" applyBorder="1" applyAlignment="1">
      <alignment horizontal="center" wrapText="1" readingOrder="1"/>
    </xf>
    <xf numFmtId="0" fontId="7" fillId="0" borderId="6" xfId="0" applyNumberFormat="1" applyFont="1" applyFill="1" applyBorder="1" applyAlignment="1">
      <alignment horizontal="center" wrapText="1" readingOrder="1"/>
    </xf>
    <xf numFmtId="0" fontId="6" fillId="6" borderId="5" xfId="0" applyNumberFormat="1" applyFont="1" applyFill="1" applyBorder="1" applyAlignment="1">
      <alignment horizontal="center" readingOrder="1"/>
    </xf>
    <xf numFmtId="165" fontId="0" fillId="0" borderId="2" xfId="0" applyNumberFormat="1" applyBorder="1" applyAlignment="1">
      <alignment horizontal="center"/>
    </xf>
    <xf numFmtId="0" fontId="5" fillId="5" borderId="2" xfId="0" applyNumberFormat="1" applyFont="1" applyFill="1" applyBorder="1" applyAlignment="1">
      <alignment horizontal="center" vertical="center" wrapText="1" readingOrder="1"/>
    </xf>
    <xf numFmtId="0" fontId="0" fillId="7" borderId="2" xfId="0" applyFill="1" applyBorder="1"/>
    <xf numFmtId="9" fontId="0" fillId="7" borderId="2" xfId="0" applyNumberFormat="1" applyFill="1" applyBorder="1"/>
    <xf numFmtId="3" fontId="6" fillId="8" borderId="2" xfId="1" applyNumberFormat="1" applyFont="1" applyFill="1" applyBorder="1" applyAlignment="1">
      <alignment horizontal="center" readingOrder="1"/>
    </xf>
    <xf numFmtId="1" fontId="6" fillId="8" borderId="2" xfId="0" applyNumberFormat="1" applyFont="1" applyFill="1" applyBorder="1" applyAlignment="1">
      <alignment horizontal="center" readingOrder="1"/>
    </xf>
    <xf numFmtId="9" fontId="7" fillId="8" borderId="2" xfId="0" applyNumberFormat="1" applyFont="1" applyFill="1" applyBorder="1" applyAlignment="1">
      <alignment horizontal="center" vertical="center" wrapText="1" readingOrder="1"/>
    </xf>
    <xf numFmtId="0" fontId="7" fillId="8" borderId="2" xfId="0" applyNumberFormat="1" applyFont="1" applyFill="1" applyBorder="1" applyAlignment="1">
      <alignment horizontal="center" vertical="center" wrapText="1" readingOrder="1"/>
    </xf>
    <xf numFmtId="0" fontId="6" fillId="8" borderId="2" xfId="0" applyNumberFormat="1" applyFont="1" applyFill="1" applyBorder="1" applyAlignment="1">
      <alignment horizontal="center" readingOrder="1"/>
    </xf>
    <xf numFmtId="165" fontId="0" fillId="9" borderId="2" xfId="0" applyNumberFormat="1" applyFill="1" applyBorder="1"/>
    <xf numFmtId="167" fontId="5" fillId="5" borderId="2" xfId="0" applyNumberFormat="1" applyFont="1" applyFill="1" applyBorder="1" applyAlignment="1">
      <alignment horizontal="center" vertical="center" wrapText="1" readingOrder="1"/>
    </xf>
    <xf numFmtId="166" fontId="0" fillId="9" borderId="2" xfId="0" applyNumberFormat="1" applyFill="1" applyBorder="1"/>
    <xf numFmtId="10" fontId="0" fillId="9" borderId="2" xfId="0" applyNumberFormat="1" applyFill="1" applyBorder="1"/>
    <xf numFmtId="166" fontId="9" fillId="9" borderId="2" xfId="0" applyNumberFormat="1" applyFont="1" applyFill="1" applyBorder="1"/>
    <xf numFmtId="165" fontId="9" fillId="9" borderId="2" xfId="0" applyNumberFormat="1" applyFont="1" applyFill="1" applyBorder="1"/>
    <xf numFmtId="10" fontId="9" fillId="9" borderId="2" xfId="0" applyNumberFormat="1" applyFont="1" applyFill="1" applyBorder="1"/>
  </cellXfs>
  <cellStyles count="2">
    <cellStyle name="Comma" xfId="1" builtinId="3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132"/>
  <sheetViews>
    <sheetView zoomScaleNormal="100" workbookViewId="0">
      <pane ySplit="1" topLeftCell="A119" activePane="bottomLeft" state="frozen"/>
      <selection pane="bottomLeft" activeCell="P125" sqref="P125:P127"/>
    </sheetView>
  </sheetViews>
  <sheetFormatPr defaultRowHeight="15"/>
  <cols>
    <col min="1" max="1" width="10.5703125" style="1" customWidth="1"/>
    <col min="2" max="2" width="8.140625" style="2" bestFit="1" customWidth="1"/>
    <col min="3" max="3" width="7" bestFit="1" customWidth="1"/>
    <col min="4" max="4" width="7.140625" style="2" bestFit="1" customWidth="1"/>
    <col min="5" max="5" width="7" bestFit="1" customWidth="1"/>
    <col min="6" max="7" width="8" bestFit="1" customWidth="1"/>
    <col min="8" max="8" width="7.140625" style="2" bestFit="1" customWidth="1"/>
    <col min="9" max="9" width="7" bestFit="1" customWidth="1"/>
    <col min="10" max="10" width="7.140625" style="2" bestFit="1" customWidth="1"/>
    <col min="11" max="12" width="8" bestFit="1" customWidth="1"/>
    <col min="13" max="13" width="7" bestFit="1" customWidth="1"/>
    <col min="14" max="14" width="8" bestFit="1" customWidth="1"/>
    <col min="15" max="15" width="7.140625" style="2" bestFit="1" customWidth="1"/>
    <col min="16" max="16" width="8" bestFit="1" customWidth="1"/>
    <col min="17" max="17" width="8.140625" style="2" bestFit="1" customWidth="1"/>
    <col min="18" max="18" width="8" bestFit="1" customWidth="1"/>
    <col min="19" max="20" width="7.140625" style="2" bestFit="1" customWidth="1"/>
    <col min="21" max="21" width="10" bestFit="1" customWidth="1"/>
    <col min="22" max="22" width="9" bestFit="1" customWidth="1"/>
    <col min="23" max="23" width="15.28515625" style="2" bestFit="1" customWidth="1"/>
  </cols>
  <sheetData>
    <row r="1" spans="1:23" ht="158.25" customHeight="1">
      <c r="A1" s="13" t="s">
        <v>31</v>
      </c>
      <c r="B1" s="14" t="s">
        <v>0</v>
      </c>
      <c r="C1" s="15" t="s">
        <v>2</v>
      </c>
      <c r="D1" s="14" t="s">
        <v>4</v>
      </c>
      <c r="E1" s="15" t="s">
        <v>5</v>
      </c>
      <c r="F1" s="15" t="s">
        <v>6</v>
      </c>
      <c r="G1" s="15" t="s">
        <v>8</v>
      </c>
      <c r="H1" s="14" t="s">
        <v>10</v>
      </c>
      <c r="I1" s="15" t="s">
        <v>11</v>
      </c>
      <c r="J1" s="14" t="s">
        <v>12</v>
      </c>
      <c r="K1" s="15" t="s">
        <v>13</v>
      </c>
      <c r="L1" s="15" t="s">
        <v>15</v>
      </c>
      <c r="M1" s="15" t="s">
        <v>17</v>
      </c>
      <c r="N1" s="16" t="s">
        <v>18</v>
      </c>
      <c r="O1" s="14" t="s">
        <v>20</v>
      </c>
      <c r="P1" s="16" t="s">
        <v>22</v>
      </c>
      <c r="Q1" s="14" t="s">
        <v>23</v>
      </c>
      <c r="R1" s="17" t="s">
        <v>36</v>
      </c>
      <c r="S1" s="14" t="s">
        <v>24</v>
      </c>
      <c r="T1" s="14" t="s">
        <v>26</v>
      </c>
      <c r="U1" s="16" t="s">
        <v>27</v>
      </c>
      <c r="V1" s="16" t="s">
        <v>28</v>
      </c>
      <c r="W1" s="14" t="s">
        <v>29</v>
      </c>
    </row>
    <row r="2" spans="1:23" s="3" customFormat="1">
      <c r="A2" s="4"/>
      <c r="B2" s="5" t="s">
        <v>1</v>
      </c>
      <c r="C2" s="5" t="s">
        <v>3</v>
      </c>
      <c r="D2" s="5" t="s">
        <v>1</v>
      </c>
      <c r="E2" s="5" t="s">
        <v>3</v>
      </c>
      <c r="F2" s="5" t="s">
        <v>7</v>
      </c>
      <c r="G2" s="5" t="s">
        <v>9</v>
      </c>
      <c r="H2" s="5" t="s">
        <v>1</v>
      </c>
      <c r="I2" s="5" t="s">
        <v>9</v>
      </c>
      <c r="J2" s="5" t="s">
        <v>1</v>
      </c>
      <c r="K2" s="5" t="s">
        <v>14</v>
      </c>
      <c r="L2" s="5" t="s">
        <v>16</v>
      </c>
      <c r="M2" s="5" t="s">
        <v>9</v>
      </c>
      <c r="N2" s="5" t="s">
        <v>19</v>
      </c>
      <c r="O2" s="6" t="s">
        <v>21</v>
      </c>
      <c r="P2" s="5" t="s">
        <v>19</v>
      </c>
      <c r="Q2" s="6" t="s">
        <v>21</v>
      </c>
      <c r="R2" s="5" t="s">
        <v>9</v>
      </c>
      <c r="S2" s="5" t="s">
        <v>25</v>
      </c>
      <c r="T2" s="5" t="s">
        <v>25</v>
      </c>
      <c r="U2" s="5" t="s">
        <v>9</v>
      </c>
      <c r="V2" s="5" t="s">
        <v>9</v>
      </c>
      <c r="W2" s="5" t="s">
        <v>30</v>
      </c>
    </row>
    <row r="3" spans="1:23">
      <c r="A3" s="7"/>
      <c r="B3" s="8"/>
      <c r="C3" s="9"/>
      <c r="D3" s="8"/>
      <c r="E3" s="9"/>
      <c r="F3" s="9"/>
      <c r="G3" s="9"/>
      <c r="H3" s="8"/>
      <c r="I3" s="9"/>
      <c r="J3" s="8"/>
      <c r="K3" s="9"/>
      <c r="L3" s="9"/>
      <c r="M3" s="9"/>
      <c r="N3" s="9"/>
      <c r="O3" s="8"/>
      <c r="P3" s="9"/>
      <c r="Q3" s="8"/>
      <c r="R3" s="9"/>
      <c r="S3" s="8"/>
      <c r="T3" s="8"/>
      <c r="U3" s="9"/>
      <c r="V3" s="9"/>
      <c r="W3" s="8"/>
    </row>
    <row r="4" spans="1:23">
      <c r="A4" s="7">
        <v>40696</v>
      </c>
      <c r="B4" s="8">
        <v>0.99998323418610058</v>
      </c>
      <c r="C4" s="9">
        <v>13237</v>
      </c>
      <c r="D4" s="8">
        <v>0.98610511043903581</v>
      </c>
      <c r="E4" s="9">
        <v>14551</v>
      </c>
      <c r="F4" s="9">
        <v>27461</v>
      </c>
      <c r="G4" s="9">
        <v>1405221</v>
      </c>
      <c r="H4" s="8">
        <v>0.97554050217012134</v>
      </c>
      <c r="I4" s="9">
        <v>395463</v>
      </c>
      <c r="J4" s="8">
        <v>0.98263807233546496</v>
      </c>
      <c r="K4" s="9">
        <v>108017</v>
      </c>
      <c r="L4" s="9">
        <v>43322</v>
      </c>
      <c r="M4" s="9">
        <v>150330</v>
      </c>
      <c r="N4" s="9">
        <v>49352</v>
      </c>
      <c r="O4" s="8">
        <v>9.8704E-2</v>
      </c>
      <c r="P4" s="9">
        <v>388160</v>
      </c>
      <c r="Q4" s="8">
        <v>0.77632000000000001</v>
      </c>
      <c r="R4" s="9">
        <v>1926727</v>
      </c>
      <c r="S4" s="8">
        <v>0.73</v>
      </c>
      <c r="T4" s="8">
        <v>0.28999999999999998</v>
      </c>
      <c r="U4" s="9">
        <v>122285342</v>
      </c>
      <c r="V4" s="9">
        <v>11711691</v>
      </c>
      <c r="W4" s="8">
        <v>0.98207805556834082</v>
      </c>
    </row>
    <row r="5" spans="1:23">
      <c r="A5" s="7">
        <v>40697</v>
      </c>
      <c r="B5" s="8">
        <v>0.99999852338478601</v>
      </c>
      <c r="C5" s="9">
        <v>13477</v>
      </c>
      <c r="D5" s="8">
        <v>0.98484934599574869</v>
      </c>
      <c r="E5" s="9">
        <v>14637</v>
      </c>
      <c r="F5" s="9">
        <v>27813</v>
      </c>
      <c r="G5" s="9">
        <v>1423010</v>
      </c>
      <c r="H5" s="8">
        <v>0.9708842523945721</v>
      </c>
      <c r="I5" s="9">
        <v>398502</v>
      </c>
      <c r="J5" s="8">
        <v>0.98024100255456681</v>
      </c>
      <c r="K5" s="9">
        <v>108190</v>
      </c>
      <c r="L5" s="9">
        <v>43235</v>
      </c>
      <c r="M5" s="9">
        <v>151249</v>
      </c>
      <c r="N5" s="9">
        <v>50368</v>
      </c>
      <c r="O5" s="8">
        <v>0.10073600000000001</v>
      </c>
      <c r="P5" s="9">
        <v>384320</v>
      </c>
      <c r="Q5" s="8">
        <v>0.76863999999999999</v>
      </c>
      <c r="R5" s="9">
        <v>1982934</v>
      </c>
      <c r="S5" s="8">
        <v>0.78</v>
      </c>
      <c r="T5" s="8">
        <v>0.3</v>
      </c>
      <c r="U5" s="9">
        <v>123722073</v>
      </c>
      <c r="V5" s="9">
        <v>11859852</v>
      </c>
      <c r="W5" s="8">
        <v>0.98142924240368645</v>
      </c>
    </row>
    <row r="6" spans="1:23">
      <c r="A6" s="7">
        <v>40698</v>
      </c>
      <c r="B6" s="8">
        <v>0.99999841145335078</v>
      </c>
      <c r="C6" s="9">
        <v>13112</v>
      </c>
      <c r="D6" s="8">
        <v>0.98852445418469315</v>
      </c>
      <c r="E6" s="9">
        <v>14466</v>
      </c>
      <c r="F6" s="9">
        <v>27424</v>
      </c>
      <c r="G6" s="9">
        <v>1510952</v>
      </c>
      <c r="H6" s="8">
        <v>0.97628713552779967</v>
      </c>
      <c r="I6" s="9">
        <v>371502</v>
      </c>
      <c r="J6" s="8">
        <v>0.97956942358318388</v>
      </c>
      <c r="K6" s="9">
        <v>108331</v>
      </c>
      <c r="L6" s="9">
        <v>42596</v>
      </c>
      <c r="M6" s="9">
        <v>150063</v>
      </c>
      <c r="N6" s="9">
        <v>52664</v>
      </c>
      <c r="O6" s="8">
        <v>0.105328</v>
      </c>
      <c r="P6" s="9">
        <v>380760</v>
      </c>
      <c r="Q6" s="8">
        <v>0.76151999999999997</v>
      </c>
      <c r="R6" s="9">
        <v>2209948</v>
      </c>
      <c r="S6" s="8">
        <v>0.73</v>
      </c>
      <c r="T6" s="8">
        <v>0.3</v>
      </c>
      <c r="U6" s="9">
        <v>123485967</v>
      </c>
      <c r="V6" s="9">
        <v>11823028</v>
      </c>
      <c r="W6" s="8">
        <v>0.98129742421011479</v>
      </c>
    </row>
    <row r="7" spans="1:23">
      <c r="A7" s="7">
        <v>40699</v>
      </c>
      <c r="B7" s="8">
        <v>0.9999988905358268</v>
      </c>
      <c r="C7" s="9">
        <v>12947</v>
      </c>
      <c r="D7" s="8">
        <v>0.98344482878938433</v>
      </c>
      <c r="E7" s="9">
        <v>14420</v>
      </c>
      <c r="F7" s="9">
        <v>27248</v>
      </c>
      <c r="G7" s="9">
        <v>1494303</v>
      </c>
      <c r="H7" s="8">
        <v>0.97941715970589638</v>
      </c>
      <c r="I7" s="9">
        <v>370389</v>
      </c>
      <c r="J7" s="8">
        <v>0.98342553369565511</v>
      </c>
      <c r="K7" s="9">
        <v>109329</v>
      </c>
      <c r="L7" s="9">
        <v>42685</v>
      </c>
      <c r="M7" s="9">
        <v>149882</v>
      </c>
      <c r="N7" s="9">
        <v>51040</v>
      </c>
      <c r="O7" s="8">
        <v>0.10208</v>
      </c>
      <c r="P7" s="9">
        <v>381344</v>
      </c>
      <c r="Q7" s="8">
        <v>0.76268800000000003</v>
      </c>
      <c r="R7" s="9">
        <v>2283849</v>
      </c>
      <c r="S7" s="8">
        <v>0.74</v>
      </c>
      <c r="T7" s="8">
        <v>0.28999999999999998</v>
      </c>
      <c r="U7" s="9">
        <v>121112491</v>
      </c>
      <c r="V7" s="9">
        <v>11588557</v>
      </c>
      <c r="W7" s="8">
        <v>0.98259251649861512</v>
      </c>
    </row>
    <row r="8" spans="1:23">
      <c r="A8" s="7">
        <v>40700</v>
      </c>
      <c r="B8" s="8">
        <v>0.99999229836067483</v>
      </c>
      <c r="C8" s="9">
        <v>13479</v>
      </c>
      <c r="D8" s="8">
        <v>0.98667397394159229</v>
      </c>
      <c r="E8" s="9">
        <v>14769</v>
      </c>
      <c r="F8" s="9">
        <v>28001</v>
      </c>
      <c r="G8" s="9">
        <v>1415909</v>
      </c>
      <c r="H8" s="8">
        <v>0.97971126675513753</v>
      </c>
      <c r="I8" s="9">
        <v>388631</v>
      </c>
      <c r="J8" s="8">
        <v>0.98150687927622859</v>
      </c>
      <c r="K8" s="9">
        <v>107909</v>
      </c>
      <c r="L8" s="9">
        <v>43183</v>
      </c>
      <c r="M8" s="9">
        <v>150307</v>
      </c>
      <c r="N8" s="9">
        <v>50416</v>
      </c>
      <c r="O8" s="8">
        <v>0.100832</v>
      </c>
      <c r="P8" s="9">
        <v>402336</v>
      </c>
      <c r="Q8" s="8">
        <v>0.80467200000000005</v>
      </c>
      <c r="R8" s="9">
        <v>1982890</v>
      </c>
      <c r="S8" s="8">
        <v>0.75</v>
      </c>
      <c r="T8" s="8">
        <v>0.28999999999999998</v>
      </c>
      <c r="U8" s="9">
        <v>123871358</v>
      </c>
      <c r="V8" s="9">
        <v>11861946</v>
      </c>
      <c r="W8" s="8">
        <v>0.982157420957956</v>
      </c>
    </row>
    <row r="9" spans="1:23">
      <c r="A9" s="7">
        <v>40701</v>
      </c>
      <c r="B9" s="8">
        <v>0.99999823624135975</v>
      </c>
      <c r="C9" s="9">
        <v>13391</v>
      </c>
      <c r="D9" s="8">
        <v>0.98164216528219073</v>
      </c>
      <c r="E9" s="9">
        <v>14526</v>
      </c>
      <c r="F9" s="9">
        <v>27652</v>
      </c>
      <c r="G9" s="9">
        <v>1527544</v>
      </c>
      <c r="H9" s="8">
        <v>0.97756202112672363</v>
      </c>
      <c r="I9" s="9">
        <v>403448</v>
      </c>
      <c r="J9" s="8">
        <v>0.97914725069897479</v>
      </c>
      <c r="K9" s="9">
        <v>108912</v>
      </c>
      <c r="L9" s="9">
        <v>42904</v>
      </c>
      <c r="M9" s="9">
        <v>151278</v>
      </c>
      <c r="N9" s="9">
        <v>45416</v>
      </c>
      <c r="O9" s="8">
        <v>9.0831999999999996E-2</v>
      </c>
      <c r="P9" s="9">
        <v>403440</v>
      </c>
      <c r="Q9" s="8">
        <v>0.80688000000000004</v>
      </c>
      <c r="R9" s="9">
        <v>2056585</v>
      </c>
      <c r="S9" s="8">
        <v>0.76</v>
      </c>
      <c r="T9" s="8">
        <v>0.32</v>
      </c>
      <c r="U9" s="9">
        <v>125038967</v>
      </c>
      <c r="V9" s="9">
        <v>11955448</v>
      </c>
      <c r="W9" s="8">
        <v>0.98164639416717048</v>
      </c>
    </row>
    <row r="10" spans="1:23">
      <c r="A10" s="7">
        <v>40702</v>
      </c>
      <c r="B10" s="8">
        <v>0.9999975178513032</v>
      </c>
      <c r="C10" s="9">
        <v>13308</v>
      </c>
      <c r="D10" s="8">
        <v>0.98580855785205579</v>
      </c>
      <c r="E10" s="9">
        <v>14724</v>
      </c>
      <c r="F10" s="9">
        <v>27689</v>
      </c>
      <c r="G10" s="9">
        <v>1429322</v>
      </c>
      <c r="H10" s="8">
        <v>0.97874796581875878</v>
      </c>
      <c r="I10" s="9">
        <v>395764</v>
      </c>
      <c r="J10" s="8">
        <v>0.98053638026702783</v>
      </c>
      <c r="K10" s="9">
        <v>108624</v>
      </c>
      <c r="L10" s="9">
        <v>43412</v>
      </c>
      <c r="M10" s="9">
        <v>150936</v>
      </c>
      <c r="N10" s="9">
        <v>50136</v>
      </c>
      <c r="O10" s="8">
        <v>0.100272</v>
      </c>
      <c r="P10" s="9">
        <v>397504</v>
      </c>
      <c r="Q10" s="8">
        <v>0.79500800000000005</v>
      </c>
      <c r="R10" s="9">
        <v>2042098</v>
      </c>
      <c r="S10" s="8">
        <v>0.71</v>
      </c>
      <c r="T10" s="8">
        <v>0.3</v>
      </c>
      <c r="U10" s="9">
        <v>129892494</v>
      </c>
      <c r="V10" s="9">
        <v>12330765</v>
      </c>
      <c r="W10" s="8">
        <v>0.98118569958125323</v>
      </c>
    </row>
    <row r="11" spans="1:23">
      <c r="A11" s="7">
        <v>40703</v>
      </c>
      <c r="B11" s="8">
        <v>0.99999909044786528</v>
      </c>
      <c r="C11" s="9">
        <v>13232</v>
      </c>
      <c r="D11" s="8">
        <v>0.98212038872168461</v>
      </c>
      <c r="E11" s="9">
        <v>14631</v>
      </c>
      <c r="F11" s="9">
        <v>27538</v>
      </c>
      <c r="G11" s="9">
        <v>1535208</v>
      </c>
      <c r="H11" s="8">
        <v>0.98047170155444729</v>
      </c>
      <c r="I11" s="9">
        <v>402451</v>
      </c>
      <c r="J11" s="8">
        <v>0.98257676089759993</v>
      </c>
      <c r="K11" s="9">
        <v>108768</v>
      </c>
      <c r="L11" s="9">
        <v>43421</v>
      </c>
      <c r="M11" s="9">
        <v>151399</v>
      </c>
      <c r="N11" s="9">
        <v>48560</v>
      </c>
      <c r="O11" s="8">
        <v>9.7119999999999998E-2</v>
      </c>
      <c r="P11" s="9">
        <v>412672</v>
      </c>
      <c r="Q11" s="8">
        <v>0.82534399999999997</v>
      </c>
      <c r="R11" s="9">
        <v>2090419</v>
      </c>
      <c r="S11" s="8">
        <v>0.76</v>
      </c>
      <c r="T11" s="8">
        <v>0.39</v>
      </c>
      <c r="U11" s="9">
        <v>127340854</v>
      </c>
      <c r="V11" s="9">
        <v>12162162</v>
      </c>
      <c r="W11" s="8">
        <v>0.9826279021037081</v>
      </c>
    </row>
    <row r="12" spans="1:23">
      <c r="A12" s="7">
        <v>40704</v>
      </c>
      <c r="B12" s="8">
        <v>0.99999061041320503</v>
      </c>
      <c r="C12" s="9">
        <v>13417</v>
      </c>
      <c r="D12" s="8">
        <v>0.98139230563366087</v>
      </c>
      <c r="E12" s="9">
        <v>14784</v>
      </c>
      <c r="F12" s="9">
        <v>27888</v>
      </c>
      <c r="G12" s="9">
        <v>1450449</v>
      </c>
      <c r="H12" s="8">
        <v>0.97315727750510361</v>
      </c>
      <c r="I12" s="9">
        <v>385720</v>
      </c>
      <c r="J12" s="8">
        <v>0.98162397594109718</v>
      </c>
      <c r="K12" s="9">
        <v>109202</v>
      </c>
      <c r="L12" s="9">
        <v>43508</v>
      </c>
      <c r="M12" s="9">
        <v>151649</v>
      </c>
      <c r="N12" s="9">
        <v>52152</v>
      </c>
      <c r="O12" s="8">
        <v>0.10430399999999999</v>
      </c>
      <c r="P12" s="9">
        <v>434000</v>
      </c>
      <c r="Q12" s="8">
        <v>0.86799999999999999</v>
      </c>
      <c r="R12" s="9">
        <v>2117908</v>
      </c>
      <c r="S12" s="8">
        <v>0.73</v>
      </c>
      <c r="T12" s="8">
        <v>0.91</v>
      </c>
      <c r="U12" s="9">
        <v>127746504</v>
      </c>
      <c r="V12" s="9">
        <v>12219053</v>
      </c>
      <c r="W12" s="8">
        <v>0.98265082997348441</v>
      </c>
    </row>
    <row r="13" spans="1:23">
      <c r="A13" s="7">
        <v>40705</v>
      </c>
      <c r="B13" s="8">
        <v>0.99999263874410182</v>
      </c>
      <c r="C13" s="9">
        <v>13586</v>
      </c>
      <c r="D13" s="8">
        <v>0.98405484614303074</v>
      </c>
      <c r="E13" s="9">
        <v>14530</v>
      </c>
      <c r="F13" s="9">
        <v>27920</v>
      </c>
      <c r="G13" s="9">
        <v>1481474</v>
      </c>
      <c r="H13" s="8">
        <v>0.97554327649354633</v>
      </c>
      <c r="I13" s="9">
        <v>391681</v>
      </c>
      <c r="J13" s="8">
        <v>0.98058368927775408</v>
      </c>
      <c r="K13" s="9">
        <v>109570</v>
      </c>
      <c r="L13" s="9">
        <v>42670</v>
      </c>
      <c r="M13" s="9">
        <v>151165</v>
      </c>
      <c r="N13" s="9">
        <v>57496</v>
      </c>
      <c r="O13" s="8">
        <v>0.114992</v>
      </c>
      <c r="P13" s="9">
        <v>421528</v>
      </c>
      <c r="Q13" s="8">
        <v>0.84305600000000003</v>
      </c>
      <c r="R13" s="9">
        <v>2291082</v>
      </c>
      <c r="S13" s="8">
        <v>0.77</v>
      </c>
      <c r="T13" s="8">
        <v>0.3</v>
      </c>
      <c r="U13" s="9">
        <v>127322580</v>
      </c>
      <c r="V13" s="9">
        <v>12157219</v>
      </c>
      <c r="W13" s="8">
        <v>0.98363230397974233</v>
      </c>
    </row>
    <row r="14" spans="1:23">
      <c r="A14" s="7">
        <v>40706</v>
      </c>
      <c r="B14" s="8">
        <v>0.99999832838876923</v>
      </c>
      <c r="C14" s="9">
        <v>13027</v>
      </c>
      <c r="D14" s="8">
        <v>0.98534785697952432</v>
      </c>
      <c r="E14" s="9">
        <v>14684</v>
      </c>
      <c r="F14" s="9">
        <v>27507</v>
      </c>
      <c r="G14" s="9">
        <v>1463362</v>
      </c>
      <c r="H14" s="8">
        <v>0.97800202547284953</v>
      </c>
      <c r="I14" s="9">
        <v>389343</v>
      </c>
      <c r="J14" s="8">
        <v>0.98353379924642281</v>
      </c>
      <c r="K14" s="9">
        <v>110320</v>
      </c>
      <c r="L14" s="9">
        <v>43130</v>
      </c>
      <c r="M14" s="9">
        <v>151110</v>
      </c>
      <c r="N14" s="9">
        <v>51464</v>
      </c>
      <c r="O14" s="8">
        <v>0.10292800000000001</v>
      </c>
      <c r="P14" s="9">
        <v>390344</v>
      </c>
      <c r="Q14" s="8">
        <v>0.78068800000000005</v>
      </c>
      <c r="R14" s="9">
        <v>2336459</v>
      </c>
      <c r="S14" s="8">
        <v>0.75</v>
      </c>
      <c r="T14" s="8">
        <v>0.28999999999999998</v>
      </c>
      <c r="U14" s="9">
        <v>124368549</v>
      </c>
      <c r="V14" s="9">
        <v>11848602</v>
      </c>
      <c r="W14" s="8">
        <v>0.98473938643107262</v>
      </c>
    </row>
    <row r="15" spans="1:23">
      <c r="A15" s="7">
        <v>40707</v>
      </c>
      <c r="B15" s="8">
        <v>0.9999984245679181</v>
      </c>
      <c r="C15" s="9">
        <v>13574</v>
      </c>
      <c r="D15" s="8">
        <v>0.98334919601262338</v>
      </c>
      <c r="E15" s="9">
        <v>14706</v>
      </c>
      <c r="F15" s="9">
        <v>28027</v>
      </c>
      <c r="G15" s="9">
        <v>1482693</v>
      </c>
      <c r="H15" s="8">
        <v>0.97472571867541025</v>
      </c>
      <c r="I15" s="9">
        <v>415144</v>
      </c>
      <c r="J15" s="8">
        <v>0.98513286955851465</v>
      </c>
      <c r="K15" s="9">
        <v>108926</v>
      </c>
      <c r="L15" s="9">
        <v>42936</v>
      </c>
      <c r="M15" s="9">
        <v>151636</v>
      </c>
      <c r="N15" s="9">
        <v>51880</v>
      </c>
      <c r="O15" s="8">
        <v>0.10376000000000001</v>
      </c>
      <c r="P15" s="9">
        <v>386376</v>
      </c>
      <c r="Q15" s="8">
        <v>0.77275199999999999</v>
      </c>
      <c r="R15" s="9">
        <v>2150121</v>
      </c>
      <c r="S15" s="8">
        <v>0.7</v>
      </c>
      <c r="T15" s="8">
        <v>0.3</v>
      </c>
      <c r="U15" s="9">
        <v>126074335</v>
      </c>
      <c r="V15" s="9">
        <v>12015095</v>
      </c>
      <c r="W15" s="8">
        <v>0.98416042970681272</v>
      </c>
    </row>
    <row r="16" spans="1:23">
      <c r="A16" s="7">
        <v>40708</v>
      </c>
      <c r="B16" s="8">
        <v>0.99999619891064395</v>
      </c>
      <c r="C16" s="9">
        <v>13944</v>
      </c>
      <c r="D16" s="8">
        <v>0.97973537540515476</v>
      </c>
      <c r="E16" s="9">
        <v>14803</v>
      </c>
      <c r="F16" s="9">
        <v>28454</v>
      </c>
      <c r="G16" s="9">
        <v>1502612</v>
      </c>
      <c r="H16" s="8">
        <v>0.97310882649679353</v>
      </c>
      <c r="I16" s="9">
        <v>390887</v>
      </c>
      <c r="J16" s="8">
        <v>0.98070542125985261</v>
      </c>
      <c r="K16" s="9">
        <v>108999</v>
      </c>
      <c r="L16" s="9">
        <v>43118</v>
      </c>
      <c r="M16" s="9">
        <v>151803</v>
      </c>
      <c r="N16" s="9">
        <v>53016</v>
      </c>
      <c r="O16" s="8">
        <v>0.106032</v>
      </c>
      <c r="P16" s="9">
        <v>403416</v>
      </c>
      <c r="Q16" s="8">
        <v>0.80683199999999999</v>
      </c>
      <c r="R16" s="9">
        <v>2142796</v>
      </c>
      <c r="S16" s="8">
        <v>0.69</v>
      </c>
      <c r="T16" s="8">
        <v>0.32</v>
      </c>
      <c r="U16" s="9">
        <v>128285157</v>
      </c>
      <c r="V16" s="9">
        <v>12197700</v>
      </c>
      <c r="W16" s="8">
        <v>0.98277697834893407</v>
      </c>
    </row>
    <row r="17" spans="1:23">
      <c r="A17" s="7">
        <v>40709</v>
      </c>
      <c r="B17" s="8">
        <v>0.99999765818424979</v>
      </c>
      <c r="C17" s="9">
        <v>13794</v>
      </c>
      <c r="D17" s="8">
        <v>0.98114485320907552</v>
      </c>
      <c r="E17" s="9">
        <v>14875</v>
      </c>
      <c r="F17" s="9">
        <v>28387</v>
      </c>
      <c r="G17" s="9">
        <v>1541649</v>
      </c>
      <c r="H17" s="8">
        <v>0.97410435189851907</v>
      </c>
      <c r="I17" s="9">
        <v>418068</v>
      </c>
      <c r="J17" s="8">
        <v>0.97703962034884273</v>
      </c>
      <c r="K17" s="9">
        <v>109773</v>
      </c>
      <c r="L17" s="9">
        <v>44078</v>
      </c>
      <c r="M17" s="9">
        <v>152445</v>
      </c>
      <c r="N17" s="9">
        <v>59184</v>
      </c>
      <c r="O17" s="8">
        <v>0.118368</v>
      </c>
      <c r="P17" s="9">
        <v>437728</v>
      </c>
      <c r="Q17" s="8">
        <v>0.87545600000000001</v>
      </c>
      <c r="R17" s="9">
        <v>2150057</v>
      </c>
      <c r="S17" s="8">
        <v>0.69</v>
      </c>
      <c r="T17" s="8">
        <v>0.31</v>
      </c>
      <c r="U17" s="9">
        <v>131765588</v>
      </c>
      <c r="V17" s="9">
        <v>12530849</v>
      </c>
      <c r="W17" s="8">
        <v>0.98266246311334016</v>
      </c>
    </row>
    <row r="18" spans="1:23">
      <c r="A18" s="7">
        <v>40710</v>
      </c>
      <c r="B18" s="8">
        <v>0.99998872683081907</v>
      </c>
      <c r="C18" s="9">
        <v>13947</v>
      </c>
      <c r="D18" s="8">
        <v>0.98335973371722218</v>
      </c>
      <c r="E18" s="9">
        <v>14925</v>
      </c>
      <c r="F18" s="9">
        <v>28582</v>
      </c>
      <c r="G18" s="9">
        <v>1479703</v>
      </c>
      <c r="H18" s="8">
        <v>0.97075223879386607</v>
      </c>
      <c r="I18" s="9">
        <v>414915</v>
      </c>
      <c r="J18" s="8">
        <v>0.97554679874191097</v>
      </c>
      <c r="K18" s="9">
        <v>109910</v>
      </c>
      <c r="L18" s="9">
        <v>43992</v>
      </c>
      <c r="M18" s="9">
        <v>152912</v>
      </c>
      <c r="N18" s="9">
        <v>51520</v>
      </c>
      <c r="O18" s="8">
        <v>0.10304000000000001</v>
      </c>
      <c r="P18" s="9">
        <v>444272</v>
      </c>
      <c r="Q18" s="8">
        <v>0.888544</v>
      </c>
      <c r="R18" s="9">
        <v>2122612</v>
      </c>
      <c r="S18" s="8">
        <v>0.69</v>
      </c>
      <c r="T18" s="8">
        <v>0.31</v>
      </c>
      <c r="U18" s="9">
        <v>131509096</v>
      </c>
      <c r="V18" s="9">
        <v>12495037</v>
      </c>
      <c r="W18" s="8">
        <v>0.98187419443937152</v>
      </c>
    </row>
    <row r="19" spans="1:23">
      <c r="A19" s="7">
        <v>40711</v>
      </c>
      <c r="B19" s="8">
        <v>0.99998489859665063</v>
      </c>
      <c r="C19" s="9">
        <v>13710</v>
      </c>
      <c r="D19" s="8">
        <v>0.97994827045668309</v>
      </c>
      <c r="E19" s="9">
        <v>14890</v>
      </c>
      <c r="F19" s="9">
        <v>28352</v>
      </c>
      <c r="G19" s="9">
        <v>1543797</v>
      </c>
      <c r="H19" s="8">
        <v>0.97312470486728497</v>
      </c>
      <c r="I19" s="9">
        <v>424642</v>
      </c>
      <c r="J19" s="8">
        <v>0.97476698018566232</v>
      </c>
      <c r="K19" s="9">
        <v>109580</v>
      </c>
      <c r="L19" s="9">
        <v>43485</v>
      </c>
      <c r="M19" s="9">
        <v>152562</v>
      </c>
      <c r="N19" s="9">
        <v>54352</v>
      </c>
      <c r="O19" s="8">
        <v>0.108704</v>
      </c>
      <c r="P19" s="9">
        <v>412360</v>
      </c>
      <c r="Q19" s="8">
        <v>0.82472000000000001</v>
      </c>
      <c r="R19" s="9">
        <v>2157339</v>
      </c>
      <c r="S19" s="8">
        <v>0.71</v>
      </c>
      <c r="T19" s="8">
        <v>0.28999999999999998</v>
      </c>
      <c r="U19" s="9">
        <v>131425608</v>
      </c>
      <c r="V19" s="9">
        <v>12523927</v>
      </c>
      <c r="W19" s="8">
        <v>0.98225678999608412</v>
      </c>
    </row>
    <row r="20" spans="1:23">
      <c r="A20" s="7">
        <v>40712</v>
      </c>
      <c r="B20" s="8">
        <v>0.99998735602577493</v>
      </c>
      <c r="C20" s="9">
        <v>14921</v>
      </c>
      <c r="D20" s="8">
        <v>0.98267072067065719</v>
      </c>
      <c r="E20" s="9">
        <v>14853</v>
      </c>
      <c r="F20" s="9">
        <v>28021</v>
      </c>
      <c r="G20" s="9">
        <v>1618455</v>
      </c>
      <c r="H20" s="8">
        <v>0.97718688502306217</v>
      </c>
      <c r="I20" s="9">
        <v>423284</v>
      </c>
      <c r="J20" s="8">
        <v>0.98604010546110887</v>
      </c>
      <c r="K20" s="9">
        <v>111447</v>
      </c>
      <c r="L20" s="9">
        <v>42232</v>
      </c>
      <c r="M20" s="9">
        <v>151884</v>
      </c>
      <c r="N20" s="9">
        <v>52864</v>
      </c>
      <c r="O20" s="8">
        <v>0.105728</v>
      </c>
      <c r="P20" s="9">
        <v>426592</v>
      </c>
      <c r="Q20" s="8">
        <v>0.85318400000000005</v>
      </c>
      <c r="R20" s="9">
        <v>2426849</v>
      </c>
      <c r="S20" s="8">
        <v>0.7</v>
      </c>
      <c r="T20" s="8">
        <v>0.3</v>
      </c>
      <c r="U20" s="9">
        <v>129209847</v>
      </c>
      <c r="V20" s="9">
        <v>12308544</v>
      </c>
      <c r="W20" s="8">
        <v>0.98212423955021255</v>
      </c>
    </row>
    <row r="21" spans="1:23">
      <c r="A21" s="7">
        <v>40713</v>
      </c>
      <c r="B21" s="8">
        <v>0.99999742687678661</v>
      </c>
      <c r="C21" s="9">
        <v>13585</v>
      </c>
      <c r="D21" s="8">
        <v>0.9801676008506639</v>
      </c>
      <c r="E21" s="9">
        <v>14984</v>
      </c>
      <c r="F21" s="9">
        <v>28334</v>
      </c>
      <c r="G21" s="9">
        <v>1503604</v>
      </c>
      <c r="H21" s="8">
        <v>0.97554475779527061</v>
      </c>
      <c r="I21" s="9">
        <v>406303</v>
      </c>
      <c r="J21" s="8">
        <v>0.98086157375160898</v>
      </c>
      <c r="K21" s="9">
        <v>110226</v>
      </c>
      <c r="L21" s="9">
        <v>43246</v>
      </c>
      <c r="M21" s="9">
        <v>150761</v>
      </c>
      <c r="N21" s="9">
        <v>52792</v>
      </c>
      <c r="O21" s="8">
        <v>0.105584</v>
      </c>
      <c r="P21" s="9">
        <v>399000</v>
      </c>
      <c r="Q21" s="8">
        <v>0.79800000000000004</v>
      </c>
      <c r="R21" s="9">
        <v>2414944</v>
      </c>
      <c r="S21" s="8">
        <v>0.72</v>
      </c>
      <c r="T21" s="8">
        <v>0.32</v>
      </c>
      <c r="U21" s="9">
        <v>125805822</v>
      </c>
      <c r="V21" s="9">
        <v>11929095</v>
      </c>
      <c r="W21" s="8">
        <v>0.9826249601294742</v>
      </c>
    </row>
    <row r="22" spans="1:23">
      <c r="A22" s="7">
        <v>40714</v>
      </c>
      <c r="B22" s="8">
        <v>0.99999579101711222</v>
      </c>
      <c r="C22" s="9">
        <v>13606</v>
      </c>
      <c r="D22" s="8">
        <v>0.98120156081588994</v>
      </c>
      <c r="E22" s="9">
        <v>15339</v>
      </c>
      <c r="F22" s="9">
        <v>28704</v>
      </c>
      <c r="G22" s="9">
        <v>1605986</v>
      </c>
      <c r="H22" s="8">
        <v>0.97748174641622032</v>
      </c>
      <c r="I22" s="9">
        <v>427407</v>
      </c>
      <c r="J22" s="8">
        <v>0.98302320738780602</v>
      </c>
      <c r="K22" s="9">
        <v>108347</v>
      </c>
      <c r="L22" s="9">
        <v>44017</v>
      </c>
      <c r="M22" s="9">
        <v>151546</v>
      </c>
      <c r="N22" s="9">
        <v>53616</v>
      </c>
      <c r="O22" s="8">
        <v>0.10723199999999999</v>
      </c>
      <c r="P22" s="9">
        <v>456792</v>
      </c>
      <c r="Q22" s="8">
        <v>0.91358399999999995</v>
      </c>
      <c r="R22" s="9">
        <v>2188250</v>
      </c>
      <c r="S22" s="8">
        <v>0.71</v>
      </c>
      <c r="T22" s="8">
        <v>0.33</v>
      </c>
      <c r="U22" s="9">
        <v>128829147</v>
      </c>
      <c r="V22" s="9">
        <v>12252223</v>
      </c>
      <c r="W22" s="8">
        <v>0.98308693408927039</v>
      </c>
    </row>
    <row r="23" spans="1:23">
      <c r="A23" s="7">
        <v>40715</v>
      </c>
      <c r="B23" s="8">
        <v>0.99999813689152273</v>
      </c>
      <c r="C23" s="9">
        <v>13722</v>
      </c>
      <c r="D23" s="8">
        <v>0.98120919571874832</v>
      </c>
      <c r="E23" s="9">
        <v>14890</v>
      </c>
      <c r="F23" s="9">
        <v>28971</v>
      </c>
      <c r="G23" s="9">
        <v>1503604</v>
      </c>
      <c r="H23" s="8">
        <v>0.97554475779527061</v>
      </c>
      <c r="I23" s="9">
        <v>406303</v>
      </c>
      <c r="J23" s="8">
        <v>0.98086157375160898</v>
      </c>
      <c r="K23" s="9">
        <v>110226</v>
      </c>
      <c r="L23" s="9">
        <v>43246</v>
      </c>
      <c r="M23" s="9">
        <v>150761</v>
      </c>
      <c r="N23" s="9">
        <v>53312</v>
      </c>
      <c r="O23" s="8">
        <v>0.106624</v>
      </c>
      <c r="P23" s="9">
        <v>428096</v>
      </c>
      <c r="Q23" s="8">
        <v>0.85619199999999995</v>
      </c>
      <c r="R23" s="9">
        <v>2178473</v>
      </c>
      <c r="S23" s="8">
        <v>0.73</v>
      </c>
      <c r="T23" s="8">
        <v>0.3</v>
      </c>
      <c r="U23" s="9">
        <v>128829147</v>
      </c>
      <c r="V23" s="9">
        <v>12252223</v>
      </c>
      <c r="W23" s="8">
        <v>0.98308693408927039</v>
      </c>
    </row>
    <row r="24" spans="1:23">
      <c r="A24" s="7">
        <v>40716</v>
      </c>
      <c r="B24" s="8">
        <v>0.99999725486005908</v>
      </c>
      <c r="C24" s="9">
        <v>14042</v>
      </c>
      <c r="D24" s="8">
        <v>0.97813949930162802</v>
      </c>
      <c r="E24" s="9">
        <v>15578</v>
      </c>
      <c r="F24" s="9">
        <v>29374</v>
      </c>
      <c r="G24" s="9">
        <v>1542321</v>
      </c>
      <c r="H24" s="8">
        <v>0.97716688030572108</v>
      </c>
      <c r="I24" s="9">
        <v>421165</v>
      </c>
      <c r="J24" s="8">
        <v>0.98458798808068093</v>
      </c>
      <c r="K24" s="9">
        <v>108605</v>
      </c>
      <c r="L24" s="9">
        <v>44725</v>
      </c>
      <c r="M24" s="9">
        <v>152665</v>
      </c>
      <c r="N24" s="9">
        <v>55392</v>
      </c>
      <c r="O24" s="8">
        <v>0.11078399999999999</v>
      </c>
      <c r="P24" s="9">
        <v>427960</v>
      </c>
      <c r="Q24" s="8">
        <v>0.85592000000000001</v>
      </c>
      <c r="R24" s="9">
        <v>2227290</v>
      </c>
      <c r="S24" s="8">
        <v>0.67</v>
      </c>
      <c r="T24" s="8">
        <v>0.28999999999999998</v>
      </c>
      <c r="U24" s="9">
        <v>131283028</v>
      </c>
      <c r="V24" s="9">
        <v>12429972</v>
      </c>
      <c r="W24" s="8">
        <v>0.98297429008266446</v>
      </c>
    </row>
    <row r="25" spans="1:23">
      <c r="A25" s="7">
        <v>40717</v>
      </c>
      <c r="B25" s="8">
        <v>0.9999819007483749</v>
      </c>
      <c r="C25" s="9">
        <v>13706</v>
      </c>
      <c r="D25" s="8">
        <v>0.98542085613321928</v>
      </c>
      <c r="E25" s="9">
        <v>16064</v>
      </c>
      <c r="F25" s="9">
        <v>29528</v>
      </c>
      <c r="G25" s="9">
        <v>1544807</v>
      </c>
      <c r="H25" s="8">
        <v>0.97747356142223596</v>
      </c>
      <c r="I25" s="9">
        <v>429975</v>
      </c>
      <c r="J25" s="8">
        <v>0.98600151171579742</v>
      </c>
      <c r="K25" s="9">
        <v>108542</v>
      </c>
      <c r="L25" s="9">
        <v>45224</v>
      </c>
      <c r="M25" s="9">
        <v>152816</v>
      </c>
      <c r="N25" s="9">
        <v>56208</v>
      </c>
      <c r="O25" s="8">
        <v>0.112416</v>
      </c>
      <c r="P25" s="9">
        <v>450128</v>
      </c>
      <c r="Q25" s="8">
        <v>0.90025599999999995</v>
      </c>
      <c r="R25" s="9">
        <v>2255142</v>
      </c>
      <c r="S25" s="8">
        <v>0.66</v>
      </c>
      <c r="T25" s="8">
        <v>0.28999999999999998</v>
      </c>
      <c r="U25" s="9">
        <v>129515015</v>
      </c>
      <c r="V25" s="9">
        <v>12189266</v>
      </c>
      <c r="W25" s="8">
        <v>0.98537909726860518</v>
      </c>
    </row>
    <row r="26" spans="1:23">
      <c r="A26" s="7">
        <v>40718</v>
      </c>
      <c r="B26" s="8">
        <v>0.99998469396552814</v>
      </c>
      <c r="C26" s="9">
        <v>13649</v>
      </c>
      <c r="D26" s="8">
        <v>0.98739717380434988</v>
      </c>
      <c r="E26" s="9">
        <v>15807</v>
      </c>
      <c r="F26" s="9">
        <v>29205</v>
      </c>
      <c r="G26" s="9">
        <v>1622450</v>
      </c>
      <c r="H26" s="8">
        <v>0.97669573792720887</v>
      </c>
      <c r="I26" s="9">
        <v>404839</v>
      </c>
      <c r="J26" s="8">
        <v>0.9806169860117232</v>
      </c>
      <c r="K26" s="9">
        <v>108382</v>
      </c>
      <c r="L26" s="9">
        <v>45099</v>
      </c>
      <c r="M26" s="9">
        <v>152485</v>
      </c>
      <c r="N26" s="9">
        <v>54632</v>
      </c>
      <c r="O26" s="8">
        <v>0.109264</v>
      </c>
      <c r="P26" s="9">
        <v>435280</v>
      </c>
      <c r="Q26" s="8">
        <v>0.87056</v>
      </c>
      <c r="R26" s="9">
        <v>2206851</v>
      </c>
      <c r="S26" s="8">
        <v>0.63</v>
      </c>
      <c r="T26" s="8">
        <v>0.28999999999999998</v>
      </c>
      <c r="U26" s="9">
        <v>128821696</v>
      </c>
      <c r="V26" s="9">
        <v>12199636</v>
      </c>
      <c r="W26" s="8">
        <v>0.98489688408571108</v>
      </c>
    </row>
    <row r="27" spans="1:23">
      <c r="A27" s="7">
        <v>40719</v>
      </c>
      <c r="B27" s="8">
        <v>0.99996383935997279</v>
      </c>
      <c r="C27" s="9">
        <v>13896</v>
      </c>
      <c r="D27" s="8">
        <v>0.99584457649156133</v>
      </c>
      <c r="E27" s="9">
        <v>16007</v>
      </c>
      <c r="F27" s="9">
        <v>29615</v>
      </c>
      <c r="G27" s="9">
        <v>1549048</v>
      </c>
      <c r="H27" s="8">
        <v>0.97608143840604034</v>
      </c>
      <c r="I27" s="9">
        <v>426977</v>
      </c>
      <c r="J27" s="8">
        <v>0.97909489269913841</v>
      </c>
      <c r="K27" s="9">
        <v>108825</v>
      </c>
      <c r="L27" s="9">
        <v>45270</v>
      </c>
      <c r="M27" s="9">
        <v>152747</v>
      </c>
      <c r="N27" s="9">
        <v>58888</v>
      </c>
      <c r="O27" s="8">
        <v>0.11777600000000001</v>
      </c>
      <c r="P27" s="9">
        <v>431720</v>
      </c>
      <c r="Q27" s="8">
        <v>0.86343999999999999</v>
      </c>
      <c r="R27" s="9">
        <v>2381527</v>
      </c>
      <c r="S27" s="8">
        <v>0.74</v>
      </c>
      <c r="T27" s="8">
        <v>0.28000000000000003</v>
      </c>
      <c r="U27" s="9">
        <v>126212568</v>
      </c>
      <c r="V27" s="9">
        <v>11830505</v>
      </c>
      <c r="W27" s="8">
        <v>0.98537210072902037</v>
      </c>
    </row>
    <row r="28" spans="1:23">
      <c r="A28" s="7">
        <v>40720</v>
      </c>
      <c r="B28" s="8">
        <v>0.99999296407414873</v>
      </c>
      <c r="C28" s="9">
        <v>13426</v>
      </c>
      <c r="D28" s="8">
        <v>0.99506818011989673</v>
      </c>
      <c r="E28" s="9">
        <v>16196</v>
      </c>
      <c r="F28" s="9">
        <v>29299</v>
      </c>
      <c r="G28" s="9">
        <v>1596965</v>
      </c>
      <c r="H28" s="8">
        <v>0.97599070737304827</v>
      </c>
      <c r="I28" s="9">
        <v>415054</v>
      </c>
      <c r="J28" s="8">
        <v>0.97733788856389769</v>
      </c>
      <c r="K28" s="9">
        <v>108910</v>
      </c>
      <c r="L28" s="9">
        <v>45888</v>
      </c>
      <c r="M28" s="9">
        <v>152156</v>
      </c>
      <c r="N28" s="9">
        <v>54512</v>
      </c>
      <c r="O28" s="8">
        <v>0.109024</v>
      </c>
      <c r="P28" s="9">
        <v>319864</v>
      </c>
      <c r="Q28" s="8">
        <v>0.63972799999999996</v>
      </c>
      <c r="R28" s="9">
        <v>2307809</v>
      </c>
      <c r="S28" s="8">
        <v>0.56000000000000005</v>
      </c>
      <c r="T28" s="8">
        <v>0.28000000000000003</v>
      </c>
      <c r="U28" s="9">
        <v>124112764</v>
      </c>
      <c r="V28" s="9">
        <v>11619526</v>
      </c>
      <c r="W28" s="8">
        <v>0.98478006571761734</v>
      </c>
    </row>
    <row r="29" spans="1:23">
      <c r="A29" s="7">
        <v>40721</v>
      </c>
      <c r="B29" s="8">
        <v>0.99998415397887419</v>
      </c>
      <c r="C29" s="9">
        <v>13693</v>
      </c>
      <c r="D29" s="8">
        <v>0.99373196266266162</v>
      </c>
      <c r="E29" s="9">
        <v>16326</v>
      </c>
      <c r="F29" s="9">
        <v>29816</v>
      </c>
      <c r="G29" s="9">
        <v>1609495</v>
      </c>
      <c r="H29" s="8">
        <v>0.97719719539358618</v>
      </c>
      <c r="I29" s="9">
        <v>422194</v>
      </c>
      <c r="J29" s="8">
        <v>0.97923703321222</v>
      </c>
      <c r="K29" s="9">
        <v>107700</v>
      </c>
      <c r="L29" s="9">
        <v>46195</v>
      </c>
      <c r="M29" s="9">
        <v>152688</v>
      </c>
      <c r="N29" s="9">
        <v>60592</v>
      </c>
      <c r="O29" s="8">
        <v>0.121184</v>
      </c>
      <c r="P29" s="9">
        <v>444512</v>
      </c>
      <c r="Q29" s="8">
        <v>0.88902400000000004</v>
      </c>
      <c r="R29" s="9">
        <v>2223881</v>
      </c>
      <c r="S29" s="8">
        <v>0.59</v>
      </c>
      <c r="T29" s="8">
        <v>0.39</v>
      </c>
      <c r="U29" s="9">
        <v>126452854</v>
      </c>
      <c r="V29" s="9">
        <v>11846594</v>
      </c>
      <c r="W29" s="8">
        <v>0.98480211542268348</v>
      </c>
    </row>
    <row r="30" spans="1:23">
      <c r="A30" s="7">
        <v>40722</v>
      </c>
      <c r="B30" s="8">
        <v>0.999982412990291</v>
      </c>
      <c r="C30" s="9">
        <v>13924</v>
      </c>
      <c r="D30" s="8">
        <v>0.9950671539174607</v>
      </c>
      <c r="E30" s="9">
        <v>16549</v>
      </c>
      <c r="F30" s="9">
        <v>30141</v>
      </c>
      <c r="G30" s="9">
        <v>1582409</v>
      </c>
      <c r="H30" s="8">
        <v>0.97593795283014695</v>
      </c>
      <c r="I30" s="9">
        <v>400028</v>
      </c>
      <c r="J30" s="8">
        <v>0.97968892177547573</v>
      </c>
      <c r="K30" s="9">
        <v>107783</v>
      </c>
      <c r="L30" s="9">
        <v>46378</v>
      </c>
      <c r="M30" s="9">
        <v>152939</v>
      </c>
      <c r="N30" s="9">
        <v>62512</v>
      </c>
      <c r="O30" s="8">
        <v>0.125024</v>
      </c>
      <c r="P30" s="9">
        <v>457024</v>
      </c>
      <c r="Q30" s="8">
        <v>0.91404799999999997</v>
      </c>
      <c r="R30" s="9">
        <v>2245654</v>
      </c>
      <c r="S30" s="8">
        <v>0.66</v>
      </c>
      <c r="T30" s="8">
        <v>0.28000000000000003</v>
      </c>
      <c r="U30" s="9">
        <v>127725425</v>
      </c>
      <c r="V30" s="9">
        <v>11938104</v>
      </c>
      <c r="W30" s="8">
        <v>0.98485909193369514</v>
      </c>
    </row>
    <row r="31" spans="1:23">
      <c r="A31" s="7">
        <v>40723</v>
      </c>
      <c r="B31" s="8">
        <v>0.99999483957689483</v>
      </c>
      <c r="C31" s="9">
        <v>13938</v>
      </c>
      <c r="D31" s="8">
        <v>0.99558439340085514</v>
      </c>
      <c r="E31" s="9">
        <v>16412</v>
      </c>
      <c r="F31" s="9">
        <v>30103</v>
      </c>
      <c r="G31" s="9">
        <v>1604030</v>
      </c>
      <c r="H31" s="8">
        <v>0.97617937320374304</v>
      </c>
      <c r="I31" s="9">
        <v>410142</v>
      </c>
      <c r="J31" s="8">
        <v>0.9830985366043955</v>
      </c>
      <c r="K31" s="9">
        <v>108195</v>
      </c>
      <c r="L31" s="9">
        <v>46224</v>
      </c>
      <c r="M31" s="9">
        <v>153550</v>
      </c>
      <c r="N31" s="9">
        <v>55808</v>
      </c>
      <c r="O31" s="8">
        <v>0.11161600000000001</v>
      </c>
      <c r="P31" s="9">
        <v>446024</v>
      </c>
      <c r="Q31" s="8">
        <v>0.89204799999999995</v>
      </c>
      <c r="R31" s="9">
        <v>2278917</v>
      </c>
      <c r="S31" s="8">
        <v>0.64</v>
      </c>
      <c r="T31" s="8">
        <v>0.3</v>
      </c>
      <c r="U31" s="9">
        <v>128268261</v>
      </c>
      <c r="V31" s="9">
        <v>11998567</v>
      </c>
      <c r="W31" s="8">
        <v>0.98466607312188459</v>
      </c>
    </row>
    <row r="32" spans="1:23">
      <c r="A32" s="7">
        <v>40724</v>
      </c>
      <c r="B32" s="8">
        <v>0.99999587162061188</v>
      </c>
      <c r="C32" s="9">
        <v>13636</v>
      </c>
      <c r="D32" s="8">
        <v>0.9980636093009293</v>
      </c>
      <c r="E32" s="9">
        <v>16316</v>
      </c>
      <c r="F32" s="9">
        <v>29661</v>
      </c>
      <c r="G32" s="9">
        <v>1555966</v>
      </c>
      <c r="H32" s="8">
        <v>0.97520639911154872</v>
      </c>
      <c r="I32" s="9">
        <v>431373</v>
      </c>
      <c r="J32" s="8">
        <v>0.98419465288740837</v>
      </c>
      <c r="K32" s="9">
        <v>108377</v>
      </c>
      <c r="L32" s="9">
        <v>46091</v>
      </c>
      <c r="M32" s="9">
        <v>153356</v>
      </c>
      <c r="N32" s="9">
        <v>58936</v>
      </c>
      <c r="O32" s="8">
        <v>0.117872</v>
      </c>
      <c r="P32" s="9">
        <v>427400</v>
      </c>
      <c r="Q32" s="8">
        <v>0.8548</v>
      </c>
      <c r="R32" s="9">
        <v>2261340</v>
      </c>
      <c r="S32" s="8">
        <v>0.65</v>
      </c>
      <c r="T32" s="8">
        <v>0.31</v>
      </c>
      <c r="U32" s="9">
        <v>128126155</v>
      </c>
      <c r="V32" s="9">
        <v>12012709</v>
      </c>
      <c r="W32" s="8">
        <v>0.9846988478598484</v>
      </c>
    </row>
    <row r="33" spans="1:23">
      <c r="A33" s="7">
        <v>40725</v>
      </c>
      <c r="B33" s="8">
        <v>0.99998881641928583</v>
      </c>
      <c r="C33" s="9">
        <v>13910</v>
      </c>
      <c r="D33" s="8">
        <v>0.9987402866523678</v>
      </c>
      <c r="E33" s="9">
        <v>16443</v>
      </c>
      <c r="F33" s="9">
        <v>30090</v>
      </c>
      <c r="G33" s="9">
        <v>1584511</v>
      </c>
      <c r="H33" s="8">
        <v>0.97570038958391581</v>
      </c>
      <c r="I33" s="9">
        <v>432823</v>
      </c>
      <c r="J33" s="8">
        <v>0.98269038382895546</v>
      </c>
      <c r="K33" s="9">
        <v>108363</v>
      </c>
      <c r="L33" s="9">
        <v>46060</v>
      </c>
      <c r="M33" s="9">
        <v>153418</v>
      </c>
      <c r="N33" s="9">
        <v>56392</v>
      </c>
      <c r="O33" s="8">
        <v>0.112784</v>
      </c>
      <c r="P33" s="9">
        <v>438728</v>
      </c>
      <c r="Q33" s="8">
        <v>0.87745600000000001</v>
      </c>
      <c r="R33" s="9">
        <v>2277130</v>
      </c>
      <c r="S33" s="8">
        <v>0.65</v>
      </c>
      <c r="T33" s="8">
        <v>0.28000000000000003</v>
      </c>
      <c r="U33" s="9">
        <v>128591952</v>
      </c>
      <c r="V33" s="9">
        <v>12079822</v>
      </c>
      <c r="W33" s="8">
        <v>0.98328524323024591</v>
      </c>
    </row>
    <row r="34" spans="1:23">
      <c r="A34" s="7">
        <v>40726</v>
      </c>
      <c r="B34" s="8">
        <v>0.99998808612830814</v>
      </c>
      <c r="C34" s="9">
        <v>14381</v>
      </c>
      <c r="D34" s="8">
        <v>0.99875731558337177</v>
      </c>
      <c r="E34" s="9">
        <v>16373</v>
      </c>
      <c r="F34" s="9">
        <v>30425</v>
      </c>
      <c r="G34" s="9">
        <v>1609505</v>
      </c>
      <c r="H34" s="8">
        <v>0.97419952097073326</v>
      </c>
      <c r="I34" s="9">
        <v>425786</v>
      </c>
      <c r="J34" s="8">
        <v>0.98033988905224689</v>
      </c>
      <c r="K34" s="9">
        <v>109210</v>
      </c>
      <c r="L34" s="9">
        <v>45728</v>
      </c>
      <c r="M34" s="9">
        <v>153715</v>
      </c>
      <c r="N34" s="9">
        <v>62520</v>
      </c>
      <c r="O34" s="8">
        <v>0.12504000000000001</v>
      </c>
      <c r="P34" s="9">
        <v>452056</v>
      </c>
      <c r="Q34" s="8">
        <v>0.90411200000000003</v>
      </c>
      <c r="R34" s="9">
        <v>2556587</v>
      </c>
      <c r="S34" s="8">
        <v>0.66</v>
      </c>
      <c r="T34" s="8">
        <v>0.3</v>
      </c>
      <c r="U34" s="9">
        <v>130801861</v>
      </c>
      <c r="V34" s="9">
        <v>12254700</v>
      </c>
      <c r="W34" s="8">
        <v>0.98317447522073176</v>
      </c>
    </row>
    <row r="35" spans="1:23">
      <c r="A35" s="7">
        <v>40727</v>
      </c>
      <c r="B35" s="8">
        <v>0.99997278576350579</v>
      </c>
      <c r="C35" s="9">
        <v>14066</v>
      </c>
      <c r="D35" s="8">
        <v>0.99856980543343987</v>
      </c>
      <c r="E35" s="9">
        <v>16760</v>
      </c>
      <c r="F35" s="9">
        <v>30616</v>
      </c>
      <c r="G35" s="9">
        <v>1586878</v>
      </c>
      <c r="H35" s="8">
        <v>0.97352411464523425</v>
      </c>
      <c r="I35" s="9">
        <v>397305</v>
      </c>
      <c r="J35" s="8">
        <v>0.98202388593146328</v>
      </c>
      <c r="K35" s="9">
        <v>110274</v>
      </c>
      <c r="L35" s="9">
        <v>46541</v>
      </c>
      <c r="M35" s="9">
        <v>153528</v>
      </c>
      <c r="N35" s="9">
        <v>63464</v>
      </c>
      <c r="O35" s="8">
        <v>0.12692800000000001</v>
      </c>
      <c r="P35" s="9">
        <v>463096</v>
      </c>
      <c r="Q35" s="8">
        <v>0.92619200000000002</v>
      </c>
      <c r="R35" s="9">
        <v>2629492</v>
      </c>
      <c r="S35" s="8">
        <v>0.63</v>
      </c>
      <c r="T35" s="8">
        <v>0.28999999999999998</v>
      </c>
      <c r="U35" s="9">
        <v>128882852</v>
      </c>
      <c r="V35" s="9">
        <v>12061288</v>
      </c>
      <c r="W35" s="8">
        <v>0.9835026793283056</v>
      </c>
    </row>
    <row r="36" spans="1:23">
      <c r="A36" s="7">
        <v>40728</v>
      </c>
      <c r="B36" s="8">
        <v>0.99999432013037848</v>
      </c>
      <c r="C36" s="9">
        <v>13927</v>
      </c>
      <c r="D36" s="8">
        <v>0.99858004739132444</v>
      </c>
      <c r="E36" s="9">
        <v>16889</v>
      </c>
      <c r="F36" s="9">
        <v>30499</v>
      </c>
      <c r="G36" s="9">
        <v>1631889</v>
      </c>
      <c r="H36" s="8">
        <v>0.977818957049162</v>
      </c>
      <c r="I36" s="9">
        <v>409062</v>
      </c>
      <c r="J36" s="8">
        <v>0.98111288753294124</v>
      </c>
      <c r="K36" s="9">
        <v>108422</v>
      </c>
      <c r="L36" s="9">
        <v>46335</v>
      </c>
      <c r="M36" s="9">
        <v>153920</v>
      </c>
      <c r="N36" s="9">
        <v>64128</v>
      </c>
      <c r="O36" s="8">
        <v>0.12825600000000001</v>
      </c>
      <c r="P36" s="9">
        <v>476720</v>
      </c>
      <c r="Q36" s="8">
        <v>0.95343999999999995</v>
      </c>
      <c r="R36" s="9">
        <v>2353966</v>
      </c>
      <c r="S36" s="8">
        <v>0.69</v>
      </c>
      <c r="T36" s="8">
        <v>0.3</v>
      </c>
      <c r="U36" s="9">
        <v>130695704</v>
      </c>
      <c r="V36" s="9">
        <v>12235459</v>
      </c>
      <c r="W36" s="8">
        <v>0.98495194277762221</v>
      </c>
    </row>
    <row r="37" spans="1:23">
      <c r="A37" s="7">
        <v>40729</v>
      </c>
      <c r="B37" s="8">
        <v>0.99999662295963443</v>
      </c>
      <c r="C37" s="9">
        <v>13956</v>
      </c>
      <c r="D37" s="8">
        <v>0.99870388475428484</v>
      </c>
      <c r="E37" s="9">
        <v>16944</v>
      </c>
      <c r="F37" s="9">
        <v>30646</v>
      </c>
      <c r="G37" s="9">
        <v>1560983</v>
      </c>
      <c r="H37" s="8">
        <v>0.9752822420231354</v>
      </c>
      <c r="I37" s="9">
        <v>415489</v>
      </c>
      <c r="J37" s="8">
        <v>0.97833155631075674</v>
      </c>
      <c r="K37" s="9">
        <v>108337</v>
      </c>
      <c r="L37" s="9">
        <v>46610</v>
      </c>
      <c r="M37" s="9">
        <v>154205</v>
      </c>
      <c r="N37" s="9">
        <v>62712</v>
      </c>
      <c r="O37" s="8">
        <v>0.12542400000000001</v>
      </c>
      <c r="P37" s="9">
        <v>486776</v>
      </c>
      <c r="Q37" s="8">
        <v>0.97355199999999997</v>
      </c>
      <c r="R37" s="9">
        <v>2393496</v>
      </c>
      <c r="S37" s="8">
        <v>0.66</v>
      </c>
      <c r="T37" s="8">
        <v>0.3</v>
      </c>
      <c r="U37" s="9">
        <v>131688201</v>
      </c>
      <c r="V37" s="9">
        <v>12295249</v>
      </c>
      <c r="W37" s="8">
        <v>0.9843385642723399</v>
      </c>
    </row>
    <row r="38" spans="1:23">
      <c r="A38" s="7">
        <v>40730</v>
      </c>
      <c r="B38" s="8">
        <v>0.99999601400605798</v>
      </c>
      <c r="C38" s="9">
        <v>13890</v>
      </c>
      <c r="D38" s="8">
        <v>0.99882353765029652</v>
      </c>
      <c r="E38" s="9">
        <v>17113</v>
      </c>
      <c r="F38" s="9">
        <v>30722</v>
      </c>
      <c r="G38" s="9">
        <v>1530622</v>
      </c>
      <c r="H38" s="8">
        <v>0.97690481385998629</v>
      </c>
      <c r="I38" s="9">
        <v>409475</v>
      </c>
      <c r="J38" s="8">
        <v>0.98126625557115821</v>
      </c>
      <c r="K38" s="9">
        <v>108266</v>
      </c>
      <c r="L38" s="9">
        <v>46908</v>
      </c>
      <c r="M38" s="9">
        <v>153963</v>
      </c>
      <c r="N38" s="9">
        <v>59760</v>
      </c>
      <c r="O38" s="8">
        <v>0.11952</v>
      </c>
      <c r="P38" s="9">
        <v>466832</v>
      </c>
      <c r="Q38" s="8">
        <v>0.93366400000000005</v>
      </c>
      <c r="R38" s="9">
        <v>2372782</v>
      </c>
      <c r="S38" s="8">
        <v>0.67</v>
      </c>
      <c r="T38" s="8">
        <v>0.3</v>
      </c>
      <c r="U38" s="9">
        <v>130771249</v>
      </c>
      <c r="V38" s="9">
        <v>12215996</v>
      </c>
      <c r="W38" s="8">
        <v>0.98496481151263382</v>
      </c>
    </row>
    <row r="39" spans="1:23">
      <c r="A39" s="7">
        <v>40731</v>
      </c>
      <c r="B39" s="8">
        <v>0.99999808691270375</v>
      </c>
      <c r="C39" s="9">
        <v>14013</v>
      </c>
      <c r="D39" s="8">
        <v>0.99902031832944149</v>
      </c>
      <c r="E39" s="9">
        <v>17018</v>
      </c>
      <c r="F39" s="9">
        <v>30706</v>
      </c>
      <c r="G39" s="9">
        <v>1573287</v>
      </c>
      <c r="H39" s="8">
        <v>0.97563890123035402</v>
      </c>
      <c r="I39" s="9">
        <v>420097</v>
      </c>
      <c r="J39" s="8">
        <v>0.98113292882358127</v>
      </c>
      <c r="K39" s="9">
        <v>108514</v>
      </c>
      <c r="L39" s="9">
        <v>46949</v>
      </c>
      <c r="M39" s="9">
        <v>154303</v>
      </c>
      <c r="N39" s="9">
        <v>59104</v>
      </c>
      <c r="O39" s="8">
        <v>0.11820799999999999</v>
      </c>
      <c r="P39" s="9">
        <v>445856</v>
      </c>
      <c r="Q39" s="8">
        <v>0.89171199999999995</v>
      </c>
      <c r="R39" s="9">
        <v>2397419</v>
      </c>
      <c r="S39" s="8">
        <v>0.63</v>
      </c>
      <c r="T39" s="8">
        <v>0.31</v>
      </c>
      <c r="U39" s="9">
        <v>131574861</v>
      </c>
      <c r="V39" s="9">
        <v>12305246</v>
      </c>
      <c r="W39" s="8">
        <v>0.98487613942971675</v>
      </c>
    </row>
    <row r="40" spans="1:23">
      <c r="A40" s="7">
        <v>40732</v>
      </c>
      <c r="B40" s="8">
        <v>0.99999507978786317</v>
      </c>
      <c r="C40" s="9">
        <v>14140</v>
      </c>
      <c r="D40" s="8">
        <v>0.99887540630178684</v>
      </c>
      <c r="E40" s="9">
        <v>16550</v>
      </c>
      <c r="F40" s="9">
        <v>30259</v>
      </c>
      <c r="G40" s="9">
        <v>1626308</v>
      </c>
      <c r="H40" s="8">
        <v>0.97474217675864594</v>
      </c>
      <c r="I40" s="9">
        <v>411135</v>
      </c>
      <c r="J40" s="8">
        <v>0.97765940627774328</v>
      </c>
      <c r="K40" s="9">
        <v>108954</v>
      </c>
      <c r="L40" s="9">
        <v>46472</v>
      </c>
      <c r="M40" s="9">
        <v>154437</v>
      </c>
      <c r="N40" s="9">
        <v>53176</v>
      </c>
      <c r="O40" s="8">
        <v>0.106352</v>
      </c>
      <c r="P40" s="9">
        <v>426496</v>
      </c>
      <c r="Q40" s="8">
        <v>0.85299199999999997</v>
      </c>
      <c r="R40" s="9">
        <v>2363368</v>
      </c>
      <c r="S40" s="8">
        <v>0.62</v>
      </c>
      <c r="T40" s="8">
        <v>0.32</v>
      </c>
      <c r="U40" s="9">
        <v>131930510</v>
      </c>
      <c r="V40" s="9">
        <v>12353277</v>
      </c>
      <c r="W40" s="8">
        <v>0.98504512442972669</v>
      </c>
    </row>
    <row r="41" spans="1:23">
      <c r="A41" s="7">
        <v>40733</v>
      </c>
      <c r="B41" s="8">
        <v>0.99999741165612599</v>
      </c>
      <c r="C41" s="9">
        <v>13641</v>
      </c>
      <c r="D41" s="8">
        <v>0.99905584915568335</v>
      </c>
      <c r="E41" s="9">
        <v>16112</v>
      </c>
      <c r="F41" s="9">
        <v>29202</v>
      </c>
      <c r="G41" s="9">
        <v>1665007</v>
      </c>
      <c r="H41" s="8">
        <v>0.97700490148089469</v>
      </c>
      <c r="I41" s="9">
        <v>408062</v>
      </c>
      <c r="J41" s="8">
        <v>0.97877283354000122</v>
      </c>
      <c r="K41" s="9">
        <v>109152</v>
      </c>
      <c r="L41" s="9">
        <v>45610</v>
      </c>
      <c r="M41" s="9">
        <v>153758</v>
      </c>
      <c r="N41" s="9">
        <v>59824</v>
      </c>
      <c r="O41" s="8">
        <v>0.119648</v>
      </c>
      <c r="P41" s="9">
        <v>446000</v>
      </c>
      <c r="Q41" s="8">
        <v>0.89200000000000002</v>
      </c>
      <c r="R41" s="9">
        <v>2489645</v>
      </c>
      <c r="S41" s="8">
        <v>0.69</v>
      </c>
      <c r="T41" s="8">
        <v>0.37</v>
      </c>
      <c r="U41" s="9">
        <v>129951831</v>
      </c>
      <c r="V41" s="9">
        <v>12184388</v>
      </c>
      <c r="W41" s="8">
        <v>0.98475806221985107</v>
      </c>
    </row>
    <row r="42" spans="1:23">
      <c r="A42" s="7">
        <v>40734</v>
      </c>
      <c r="B42" s="8">
        <v>0.99999689382813362</v>
      </c>
      <c r="C42" s="9">
        <v>14032</v>
      </c>
      <c r="D42" s="8">
        <v>0.99903998155710705</v>
      </c>
      <c r="E42" s="9">
        <v>16865</v>
      </c>
      <c r="F42" s="9">
        <v>30652</v>
      </c>
      <c r="G42" s="9">
        <v>1636298</v>
      </c>
      <c r="H42" s="8">
        <v>0.96285945469590506</v>
      </c>
      <c r="I42" s="9">
        <v>397979</v>
      </c>
      <c r="J42" s="8">
        <v>0.96398553692531519</v>
      </c>
      <c r="K42" s="9">
        <v>109790</v>
      </c>
      <c r="L42" s="9">
        <v>46288</v>
      </c>
      <c r="M42" s="9">
        <v>152671</v>
      </c>
      <c r="N42" s="9">
        <v>65432</v>
      </c>
      <c r="O42" s="8">
        <v>0.13086400000000001</v>
      </c>
      <c r="P42" s="9">
        <v>455944</v>
      </c>
      <c r="Q42" s="8">
        <v>0.91188800000000003</v>
      </c>
      <c r="R42" s="9">
        <v>2590247</v>
      </c>
      <c r="S42" s="8">
        <v>0.61</v>
      </c>
      <c r="T42" s="8">
        <v>0.31</v>
      </c>
      <c r="U42" s="9">
        <v>127064572</v>
      </c>
      <c r="V42" s="9">
        <v>11903249</v>
      </c>
      <c r="W42" s="8">
        <v>0.98352008571929772</v>
      </c>
    </row>
    <row r="43" spans="1:23">
      <c r="A43" s="7">
        <v>40735</v>
      </c>
      <c r="B43" s="8">
        <v>0.99999146386564997</v>
      </c>
      <c r="C43" s="9">
        <v>14165</v>
      </c>
      <c r="D43" s="8">
        <v>0.99897503859116199</v>
      </c>
      <c r="E43" s="9">
        <v>17259</v>
      </c>
      <c r="F43" s="9">
        <v>31188</v>
      </c>
      <c r="G43" s="9">
        <v>1607365</v>
      </c>
      <c r="H43" s="8">
        <v>0.97755830194137605</v>
      </c>
      <c r="I43" s="9">
        <v>395819</v>
      </c>
      <c r="J43" s="8">
        <v>0.97715369903920735</v>
      </c>
      <c r="K43" s="9">
        <v>108280</v>
      </c>
      <c r="L43" s="9">
        <v>47132</v>
      </c>
      <c r="M43" s="9">
        <v>154143</v>
      </c>
      <c r="N43" s="9">
        <v>62376</v>
      </c>
      <c r="O43" s="8">
        <v>0.124752</v>
      </c>
      <c r="P43" s="9">
        <v>478416</v>
      </c>
      <c r="Q43" s="8">
        <v>0.95683200000000002</v>
      </c>
      <c r="R43" s="9">
        <v>2296965</v>
      </c>
      <c r="S43" s="8">
        <v>0.65</v>
      </c>
      <c r="T43" s="8">
        <v>0.31</v>
      </c>
      <c r="U43" s="9">
        <v>130303553</v>
      </c>
      <c r="V43" s="9">
        <v>12198642</v>
      </c>
      <c r="W43" s="8">
        <v>0.98440752778408858</v>
      </c>
    </row>
    <row r="44" spans="1:23">
      <c r="A44" s="7">
        <v>40736</v>
      </c>
      <c r="B44" s="8">
        <v>0.99999652071854117</v>
      </c>
      <c r="C44" s="9">
        <v>14374</v>
      </c>
      <c r="D44" s="8">
        <v>0.99894733556507553</v>
      </c>
      <c r="E44" s="9">
        <v>17264</v>
      </c>
      <c r="F44" s="9">
        <v>31358</v>
      </c>
      <c r="G44" s="9">
        <v>1557058</v>
      </c>
      <c r="H44" s="8">
        <v>0.97351158402577165</v>
      </c>
      <c r="I44" s="9">
        <v>419412</v>
      </c>
      <c r="J44" s="8">
        <v>0.98165765404900196</v>
      </c>
      <c r="K44" s="9">
        <v>108217</v>
      </c>
      <c r="L44" s="9">
        <v>47111</v>
      </c>
      <c r="M44" s="9">
        <v>154475</v>
      </c>
      <c r="N44" s="9">
        <v>61920</v>
      </c>
      <c r="O44" s="8">
        <v>0.12384000000000001</v>
      </c>
      <c r="P44" s="9">
        <v>454248</v>
      </c>
      <c r="Q44" s="8">
        <v>0.90849599999999997</v>
      </c>
      <c r="R44" s="9">
        <v>2384675</v>
      </c>
      <c r="S44" s="8">
        <v>0.64</v>
      </c>
      <c r="T44" s="8">
        <v>0.3</v>
      </c>
      <c r="U44" s="9">
        <v>133100570</v>
      </c>
      <c r="V44" s="9">
        <v>12407591</v>
      </c>
      <c r="W44" s="8">
        <v>0.98418217328366664</v>
      </c>
    </row>
    <row r="45" spans="1:23">
      <c r="A45" s="7">
        <v>40737</v>
      </c>
      <c r="B45" s="8">
        <v>0.99994616229677047</v>
      </c>
      <c r="C45" s="9">
        <v>14530</v>
      </c>
      <c r="D45" s="8">
        <v>0.99890756553195914</v>
      </c>
      <c r="E45" s="9">
        <v>17236</v>
      </c>
      <c r="F45" s="9">
        <v>31501</v>
      </c>
      <c r="G45" s="9">
        <v>1625139</v>
      </c>
      <c r="H45" s="8">
        <v>0.9770222731717102</v>
      </c>
      <c r="I45" s="9">
        <v>418835</v>
      </c>
      <c r="J45" s="8">
        <v>0.98185204197356957</v>
      </c>
      <c r="K45" s="9">
        <v>109347</v>
      </c>
      <c r="L45" s="9">
        <v>46290</v>
      </c>
      <c r="M45" s="9">
        <v>154606</v>
      </c>
      <c r="N45" s="9">
        <v>61664</v>
      </c>
      <c r="O45" s="8">
        <v>0.12332799999999999</v>
      </c>
      <c r="P45" s="9">
        <v>498264</v>
      </c>
      <c r="Q45" s="8">
        <v>0.99652799999999997</v>
      </c>
      <c r="R45" s="9">
        <v>2421809</v>
      </c>
      <c r="S45" s="8">
        <v>0.67</v>
      </c>
      <c r="T45" s="8">
        <v>0.32</v>
      </c>
      <c r="U45" s="9">
        <v>132442834</v>
      </c>
      <c r="V45" s="9">
        <v>12360093</v>
      </c>
      <c r="W45" s="8">
        <v>0.98357950627785995</v>
      </c>
    </row>
    <row r="46" spans="1:23">
      <c r="A46" s="7">
        <v>40738</v>
      </c>
      <c r="B46" s="8">
        <v>0.99999521906163946</v>
      </c>
      <c r="C46" s="9">
        <v>14507</v>
      </c>
      <c r="D46" s="8">
        <v>0.99882594003605985</v>
      </c>
      <c r="E46" s="9">
        <v>16854</v>
      </c>
      <c r="F46" s="9">
        <v>31246</v>
      </c>
      <c r="G46" s="9">
        <v>1687600</v>
      </c>
      <c r="H46" s="8">
        <v>0.97775005925574776</v>
      </c>
      <c r="I46" s="9">
        <v>422213</v>
      </c>
      <c r="J46" s="8">
        <v>0.98689050313467375</v>
      </c>
      <c r="K46" s="9">
        <v>109192</v>
      </c>
      <c r="L46" s="9">
        <v>46211</v>
      </c>
      <c r="M46" s="9">
        <v>154534</v>
      </c>
      <c r="N46" s="9">
        <v>58216</v>
      </c>
      <c r="O46" s="8">
        <v>0.11643199999999999</v>
      </c>
      <c r="P46" s="9">
        <v>468120</v>
      </c>
      <c r="Q46" s="8">
        <v>0.93623999999999996</v>
      </c>
      <c r="R46" s="9">
        <v>2419586</v>
      </c>
      <c r="S46" s="8">
        <v>0.66</v>
      </c>
      <c r="T46" s="8">
        <v>0.28999999999999998</v>
      </c>
      <c r="U46" s="9">
        <v>133161845</v>
      </c>
      <c r="V46" s="9">
        <v>12410862</v>
      </c>
      <c r="W46" s="8">
        <v>0.98313387780386541</v>
      </c>
    </row>
    <row r="47" spans="1:23">
      <c r="A47" s="7">
        <v>40739</v>
      </c>
      <c r="B47" s="8">
        <v>0.99998307389151708</v>
      </c>
      <c r="C47" s="9">
        <v>14878</v>
      </c>
      <c r="D47" s="8">
        <v>0.99875605183225913</v>
      </c>
      <c r="E47" s="9">
        <v>16915</v>
      </c>
      <c r="F47" s="9">
        <v>31492</v>
      </c>
      <c r="G47" s="9">
        <v>1671225</v>
      </c>
      <c r="H47" s="8">
        <v>0.97478137294499545</v>
      </c>
      <c r="I47" s="9">
        <v>413952</v>
      </c>
      <c r="J47" s="8">
        <v>0.98416966218305502</v>
      </c>
      <c r="K47" s="9">
        <v>110846</v>
      </c>
      <c r="L47" s="9">
        <v>45487</v>
      </c>
      <c r="M47" s="9">
        <v>154863</v>
      </c>
      <c r="N47" s="9">
        <v>58472</v>
      </c>
      <c r="O47" s="8">
        <v>0.11694400000000001</v>
      </c>
      <c r="P47" s="9">
        <v>500696</v>
      </c>
      <c r="Q47" s="8">
        <v>1.0013920000000001</v>
      </c>
      <c r="R47" s="9">
        <v>2390948</v>
      </c>
      <c r="S47" s="8">
        <v>0.68</v>
      </c>
      <c r="T47" s="8">
        <v>0.28999999999999998</v>
      </c>
      <c r="U47" s="9">
        <v>130374991</v>
      </c>
      <c r="V47" s="9">
        <v>12194402</v>
      </c>
      <c r="W47" s="8">
        <v>0.98360698036449956</v>
      </c>
    </row>
    <row r="48" spans="1:23">
      <c r="A48" s="7">
        <v>40740</v>
      </c>
      <c r="B48" s="8">
        <v>0.999991880643189</v>
      </c>
      <c r="C48" s="9">
        <v>15367</v>
      </c>
      <c r="D48" s="8">
        <v>0.99873065139336636</v>
      </c>
      <c r="E48" s="9">
        <v>16759</v>
      </c>
      <c r="F48" s="9">
        <v>31800</v>
      </c>
      <c r="G48" s="9">
        <v>1676991</v>
      </c>
      <c r="H48" s="8">
        <v>0.97422228264790922</v>
      </c>
      <c r="I48" s="9">
        <v>402264</v>
      </c>
      <c r="J48" s="8">
        <v>0.98562635483165284</v>
      </c>
      <c r="K48" s="9">
        <v>111377</v>
      </c>
      <c r="L48" s="9">
        <v>44934</v>
      </c>
      <c r="M48" s="9">
        <v>154812</v>
      </c>
      <c r="N48" s="9">
        <v>62352</v>
      </c>
      <c r="O48" s="8">
        <v>0.124704</v>
      </c>
      <c r="P48" s="9">
        <v>483056</v>
      </c>
      <c r="Q48" s="8">
        <v>0.96611199999999997</v>
      </c>
      <c r="R48" s="9">
        <v>2634052</v>
      </c>
      <c r="S48" s="8">
        <v>0.7</v>
      </c>
      <c r="T48" s="8">
        <v>0.31</v>
      </c>
      <c r="U48" s="9">
        <v>131339520</v>
      </c>
      <c r="V48" s="9">
        <v>12282234</v>
      </c>
      <c r="W48" s="8">
        <v>0.98406494900958585</v>
      </c>
    </row>
    <row r="49" spans="1:23">
      <c r="A49" s="7">
        <v>40741</v>
      </c>
      <c r="B49" s="8">
        <v>0.99999571430463818</v>
      </c>
      <c r="C49" s="9">
        <v>15105</v>
      </c>
      <c r="D49" s="8">
        <v>0.99889912329737462</v>
      </c>
      <c r="E49" s="9">
        <v>16963</v>
      </c>
      <c r="F49" s="9">
        <v>31860</v>
      </c>
      <c r="G49" s="9">
        <v>1614256</v>
      </c>
      <c r="H49" s="8">
        <v>0.97312074416945016</v>
      </c>
      <c r="I49" s="9">
        <v>404016</v>
      </c>
      <c r="J49" s="8">
        <v>0.97805532454160227</v>
      </c>
      <c r="K49" s="9">
        <v>112059</v>
      </c>
      <c r="L49" s="9">
        <v>45634</v>
      </c>
      <c r="M49" s="9">
        <v>154683</v>
      </c>
      <c r="N49" s="9">
        <v>66872</v>
      </c>
      <c r="O49" s="8">
        <v>0.133744</v>
      </c>
      <c r="P49" s="9">
        <v>483072</v>
      </c>
      <c r="Q49" s="8">
        <v>0.966144</v>
      </c>
      <c r="R49" s="9">
        <v>2664047</v>
      </c>
      <c r="S49" s="8">
        <v>0.65</v>
      </c>
      <c r="T49" s="8">
        <v>0.28999999999999998</v>
      </c>
      <c r="U49" s="9">
        <v>130326496</v>
      </c>
      <c r="V49" s="9">
        <v>12165582</v>
      </c>
      <c r="W49" s="8">
        <v>0.98401709421765837</v>
      </c>
    </row>
    <row r="50" spans="1:23">
      <c r="A50" s="7">
        <v>40742</v>
      </c>
      <c r="B50" s="8">
        <v>0.99998071956169665</v>
      </c>
      <c r="C50" s="9">
        <v>14975</v>
      </c>
      <c r="D50" s="8">
        <v>0.99892523110550246</v>
      </c>
      <c r="E50" s="9">
        <v>17310</v>
      </c>
      <c r="F50" s="9">
        <v>31894</v>
      </c>
      <c r="G50" s="9">
        <v>1636874</v>
      </c>
      <c r="H50" s="8">
        <v>0.97692308632185498</v>
      </c>
      <c r="I50" s="9">
        <v>416953</v>
      </c>
      <c r="J50" s="8">
        <v>0.97909116854897316</v>
      </c>
      <c r="K50" s="9">
        <v>109782</v>
      </c>
      <c r="L50" s="9">
        <v>46169</v>
      </c>
      <c r="M50" s="9">
        <v>155316</v>
      </c>
      <c r="N50" s="9">
        <v>65160</v>
      </c>
      <c r="O50" s="8">
        <v>0.13031999999999999</v>
      </c>
      <c r="P50" s="9">
        <v>495424</v>
      </c>
      <c r="Q50" s="8">
        <v>0.99084799999999995</v>
      </c>
      <c r="R50" s="9">
        <v>2426966</v>
      </c>
      <c r="S50" s="8">
        <v>0.72</v>
      </c>
      <c r="T50" s="8">
        <v>0.32</v>
      </c>
      <c r="U50" s="9">
        <v>133870574</v>
      </c>
      <c r="V50" s="9">
        <v>12469734</v>
      </c>
      <c r="W50" s="8">
        <v>0.98521063377917051</v>
      </c>
    </row>
    <row r="51" spans="1:23">
      <c r="A51" s="7">
        <v>40743</v>
      </c>
      <c r="B51" s="8">
        <v>0.99991770122567281</v>
      </c>
      <c r="C51" s="9">
        <v>15003</v>
      </c>
      <c r="D51" s="8">
        <v>0.99913480877775818</v>
      </c>
      <c r="E51" s="9">
        <v>17421</v>
      </c>
      <c r="F51" s="9">
        <v>32083</v>
      </c>
      <c r="G51" s="9">
        <v>1640943</v>
      </c>
      <c r="H51" s="8">
        <v>0.97692972882056228</v>
      </c>
      <c r="I51" s="9">
        <v>420311</v>
      </c>
      <c r="J51" s="8">
        <v>0.97316986707461861</v>
      </c>
      <c r="K51" s="9">
        <v>110405</v>
      </c>
      <c r="L51" s="9">
        <v>46052</v>
      </c>
      <c r="M51" s="9">
        <v>155385</v>
      </c>
      <c r="N51" s="9">
        <v>62368</v>
      </c>
      <c r="O51" s="8">
        <v>0.124736</v>
      </c>
      <c r="P51" s="9">
        <v>502648</v>
      </c>
      <c r="Q51" s="8">
        <v>1.005296</v>
      </c>
      <c r="R51" s="9">
        <v>2540419</v>
      </c>
      <c r="S51" s="8">
        <v>0.74</v>
      </c>
      <c r="T51" s="8">
        <v>0.28000000000000003</v>
      </c>
      <c r="U51" s="9">
        <v>135515121</v>
      </c>
      <c r="V51" s="9">
        <v>12605666</v>
      </c>
      <c r="W51" s="8">
        <v>0.98492550864978146</v>
      </c>
    </row>
    <row r="52" spans="1:23">
      <c r="A52" s="7">
        <v>40744</v>
      </c>
      <c r="B52" s="8">
        <v>0.99995860405419479</v>
      </c>
      <c r="C52" s="9">
        <v>15105</v>
      </c>
      <c r="D52" s="8">
        <v>0.99907810967914468</v>
      </c>
      <c r="E52" s="9">
        <v>17391</v>
      </c>
      <c r="F52" s="9">
        <v>32118</v>
      </c>
      <c r="G52" s="9">
        <v>1571021</v>
      </c>
      <c r="H52" s="8">
        <v>0.97548154989653224</v>
      </c>
      <c r="I52" s="9">
        <v>404747</v>
      </c>
      <c r="J52" s="8">
        <v>0.97359338055624867</v>
      </c>
      <c r="K52" s="9">
        <v>110371</v>
      </c>
      <c r="L52" s="9">
        <v>46090</v>
      </c>
      <c r="M52" s="9">
        <v>155406</v>
      </c>
      <c r="N52" s="9">
        <v>62560</v>
      </c>
      <c r="O52" s="8">
        <v>0.12512000000000001</v>
      </c>
      <c r="P52" s="9">
        <v>501736</v>
      </c>
      <c r="Q52" s="8">
        <v>1.0034719999999999</v>
      </c>
      <c r="R52" s="9">
        <v>2519883</v>
      </c>
      <c r="S52" s="8">
        <v>0.72</v>
      </c>
      <c r="T52" s="8">
        <v>0.3</v>
      </c>
      <c r="U52" s="9">
        <v>134858037</v>
      </c>
      <c r="V52" s="9">
        <v>12512274</v>
      </c>
      <c r="W52" s="8">
        <v>0.98467614601095976</v>
      </c>
    </row>
    <row r="53" spans="1:23">
      <c r="A53" s="7">
        <v>40745</v>
      </c>
      <c r="B53" s="8">
        <v>0.99994037061896412</v>
      </c>
      <c r="C53" s="9">
        <v>14434</v>
      </c>
      <c r="D53" s="8">
        <v>0.99858988368145207</v>
      </c>
      <c r="E53" s="9">
        <v>17272</v>
      </c>
      <c r="F53" s="9">
        <v>31505</v>
      </c>
      <c r="G53" s="9">
        <v>1713184</v>
      </c>
      <c r="H53" s="8">
        <v>0.97681159758671576</v>
      </c>
      <c r="I53" s="9">
        <v>443731</v>
      </c>
      <c r="J53" s="8">
        <v>0.97673590531200205</v>
      </c>
      <c r="K53" s="9">
        <v>110632</v>
      </c>
      <c r="L53" s="9">
        <v>47766</v>
      </c>
      <c r="M53" s="9">
        <v>155712</v>
      </c>
      <c r="N53" s="9">
        <v>57240</v>
      </c>
      <c r="O53" s="8">
        <v>0.111796875</v>
      </c>
      <c r="P53" s="9">
        <v>497616</v>
      </c>
      <c r="Q53" s="8">
        <v>0.97190624999999997</v>
      </c>
      <c r="R53" s="9">
        <v>2542922</v>
      </c>
      <c r="S53" s="8">
        <v>0.68</v>
      </c>
      <c r="T53" s="8">
        <v>0.36</v>
      </c>
      <c r="U53" s="9">
        <v>137679563</v>
      </c>
      <c r="V53" s="9">
        <v>12804296</v>
      </c>
      <c r="W53" s="8">
        <v>0.98394253930107467</v>
      </c>
    </row>
    <row r="54" spans="1:23">
      <c r="A54" s="7">
        <v>40746</v>
      </c>
      <c r="B54" s="8">
        <v>0.99999663619654344</v>
      </c>
      <c r="C54" s="9">
        <v>14761</v>
      </c>
      <c r="D54" s="8">
        <v>0.99881515068553073</v>
      </c>
      <c r="E54" s="9">
        <v>17782</v>
      </c>
      <c r="F54" s="9">
        <v>32147</v>
      </c>
      <c r="G54" s="9">
        <v>1607875</v>
      </c>
      <c r="H54" s="8">
        <v>0.97439788540775873</v>
      </c>
      <c r="I54" s="9">
        <v>410942</v>
      </c>
      <c r="J54" s="8">
        <v>0.97588710815638213</v>
      </c>
      <c r="K54" s="9">
        <v>108715</v>
      </c>
      <c r="L54" s="9">
        <v>47798</v>
      </c>
      <c r="M54" s="9">
        <v>155420</v>
      </c>
      <c r="N54" s="9">
        <v>63072</v>
      </c>
      <c r="O54" s="8">
        <v>0.12318750000000001</v>
      </c>
      <c r="P54" s="9">
        <v>504752</v>
      </c>
      <c r="Q54" s="8">
        <v>0.98584375000000002</v>
      </c>
      <c r="R54" s="9">
        <v>2625419</v>
      </c>
      <c r="S54" s="8">
        <v>0.7</v>
      </c>
      <c r="T54" s="8">
        <v>0.28000000000000003</v>
      </c>
      <c r="U54" s="9">
        <v>137300589</v>
      </c>
      <c r="V54" s="9">
        <v>12755304</v>
      </c>
      <c r="W54" s="8">
        <v>0.98338517633296707</v>
      </c>
    </row>
    <row r="55" spans="1:23">
      <c r="A55" s="7">
        <v>40747</v>
      </c>
      <c r="B55" s="8">
        <v>0.99999719938464016</v>
      </c>
      <c r="C55" s="9">
        <v>15110</v>
      </c>
      <c r="D55" s="8">
        <v>0.99893014956154658</v>
      </c>
      <c r="E55" s="9">
        <v>17774</v>
      </c>
      <c r="F55" s="9">
        <v>32437</v>
      </c>
      <c r="G55" s="9">
        <v>1660922</v>
      </c>
      <c r="H55" s="8">
        <v>0.97470200286346986</v>
      </c>
      <c r="I55" s="9">
        <v>402180</v>
      </c>
      <c r="J55" s="8">
        <v>0.96957581182555075</v>
      </c>
      <c r="K55" s="9">
        <v>109532</v>
      </c>
      <c r="L55" s="9">
        <v>47216</v>
      </c>
      <c r="M55" s="9">
        <v>155056</v>
      </c>
      <c r="N55" s="9">
        <v>69232</v>
      </c>
      <c r="O55" s="8">
        <v>0.13521875</v>
      </c>
      <c r="P55" s="9">
        <v>505056</v>
      </c>
      <c r="Q55" s="8">
        <v>0.98643749999999997</v>
      </c>
      <c r="R55" s="9">
        <v>2726880</v>
      </c>
      <c r="S55" s="8">
        <v>0.69</v>
      </c>
      <c r="T55" s="8">
        <v>0.28000000000000003</v>
      </c>
      <c r="U55" s="9">
        <v>137375380</v>
      </c>
      <c r="V55" s="9">
        <v>12761201</v>
      </c>
      <c r="W55" s="8">
        <v>0.98333198057944693</v>
      </c>
    </row>
    <row r="56" spans="1:23">
      <c r="A56" s="7">
        <v>40748</v>
      </c>
      <c r="B56" s="8">
        <v>0.99997561472212582</v>
      </c>
      <c r="C56" s="9">
        <v>14831</v>
      </c>
      <c r="D56" s="8">
        <v>0.99884536641052568</v>
      </c>
      <c r="E56" s="9">
        <v>17886</v>
      </c>
      <c r="F56" s="9">
        <v>32443</v>
      </c>
      <c r="G56" s="9">
        <v>1624324</v>
      </c>
      <c r="H56" s="8">
        <v>0.97335445391436681</v>
      </c>
      <c r="I56" s="9">
        <v>395606</v>
      </c>
      <c r="J56" s="8">
        <v>0.96477050398628938</v>
      </c>
      <c r="K56" s="9">
        <v>108199</v>
      </c>
      <c r="L56" s="9">
        <v>47579</v>
      </c>
      <c r="M56" s="9">
        <v>154608</v>
      </c>
      <c r="N56" s="9">
        <v>66464</v>
      </c>
      <c r="O56" s="8">
        <v>0.1298125</v>
      </c>
      <c r="P56" s="9">
        <v>493864</v>
      </c>
      <c r="Q56" s="8">
        <v>0.96457812499999995</v>
      </c>
      <c r="R56" s="9">
        <v>2800967</v>
      </c>
      <c r="S56" s="8">
        <v>0.73</v>
      </c>
      <c r="T56" s="8">
        <v>0.31</v>
      </c>
      <c r="U56" s="9">
        <v>135428124</v>
      </c>
      <c r="V56" s="9">
        <v>12582578</v>
      </c>
      <c r="W56" s="8">
        <v>0.98162300834920246</v>
      </c>
    </row>
    <row r="57" spans="1:23">
      <c r="A57" s="7">
        <v>40749</v>
      </c>
      <c r="B57" s="8">
        <v>0.99999652837044606</v>
      </c>
      <c r="C57" s="9">
        <v>15042</v>
      </c>
      <c r="D57" s="8">
        <v>0.999046989895927</v>
      </c>
      <c r="E57" s="9">
        <v>17830</v>
      </c>
      <c r="F57" s="9">
        <v>32574</v>
      </c>
      <c r="G57" s="9">
        <v>1612518</v>
      </c>
      <c r="H57" s="8">
        <v>0.97416959066503439</v>
      </c>
      <c r="I57" s="9">
        <v>413218</v>
      </c>
      <c r="J57" s="8">
        <v>0.97193007081008087</v>
      </c>
      <c r="K57" s="9">
        <v>108927</v>
      </c>
      <c r="L57" s="9">
        <v>47723</v>
      </c>
      <c r="M57" s="9">
        <v>155857</v>
      </c>
      <c r="N57" s="9">
        <v>63032</v>
      </c>
      <c r="O57" s="8">
        <v>0.12310937499999999</v>
      </c>
      <c r="P57" s="9">
        <v>501200</v>
      </c>
      <c r="Q57" s="8">
        <v>0.97890624999999998</v>
      </c>
      <c r="R57" s="9">
        <v>2483800</v>
      </c>
      <c r="S57" s="8">
        <v>0.73</v>
      </c>
      <c r="T57" s="8">
        <v>0.31</v>
      </c>
      <c r="U57" s="9">
        <v>138203296</v>
      </c>
      <c r="V57" s="9">
        <v>12829289</v>
      </c>
      <c r="W57" s="8">
        <v>0.98465794028063591</v>
      </c>
    </row>
    <row r="58" spans="1:23">
      <c r="A58" s="7">
        <v>40750</v>
      </c>
      <c r="B58" s="8">
        <v>0.99999141379802658</v>
      </c>
      <c r="C58" s="9">
        <v>15062</v>
      </c>
      <c r="D58" s="8">
        <v>0.99907640442455881</v>
      </c>
      <c r="E58" s="9">
        <v>17828</v>
      </c>
      <c r="F58" s="9">
        <v>32512</v>
      </c>
      <c r="G58" s="9">
        <v>1579019</v>
      </c>
      <c r="H58" s="8">
        <v>0.97282426620578977</v>
      </c>
      <c r="I58" s="9">
        <v>410881</v>
      </c>
      <c r="J58" s="8">
        <v>0.98192664056016221</v>
      </c>
      <c r="K58" s="9">
        <v>109064</v>
      </c>
      <c r="L58" s="9">
        <v>47555</v>
      </c>
      <c r="M58" s="9">
        <v>155832</v>
      </c>
      <c r="N58" s="9">
        <v>62784</v>
      </c>
      <c r="O58" s="8">
        <v>0.122625</v>
      </c>
      <c r="P58" s="9">
        <v>489552</v>
      </c>
      <c r="Q58" s="8">
        <v>0.95615625000000004</v>
      </c>
      <c r="R58" s="9">
        <v>2576571</v>
      </c>
      <c r="S58" s="8">
        <v>0.69</v>
      </c>
      <c r="T58" s="8">
        <v>0.32</v>
      </c>
      <c r="U58" s="9">
        <v>139539535</v>
      </c>
      <c r="V58" s="9">
        <v>12909172</v>
      </c>
      <c r="W58" s="8">
        <v>0.98437367352607363</v>
      </c>
    </row>
    <row r="59" spans="1:23">
      <c r="A59" s="7">
        <v>40751</v>
      </c>
      <c r="B59" s="8">
        <v>0.99998988741582251</v>
      </c>
      <c r="C59" s="9">
        <v>15160</v>
      </c>
      <c r="D59" s="8">
        <v>0.99899843035256819</v>
      </c>
      <c r="E59" s="9">
        <v>17865</v>
      </c>
      <c r="F59" s="9">
        <v>32603</v>
      </c>
      <c r="G59" s="9">
        <v>1619195</v>
      </c>
      <c r="H59" s="8">
        <v>0.9684201099929286</v>
      </c>
      <c r="I59" s="9">
        <v>416179</v>
      </c>
      <c r="J59" s="8">
        <v>0.97801667071140064</v>
      </c>
      <c r="K59" s="9">
        <v>108756</v>
      </c>
      <c r="L59" s="9">
        <v>47391</v>
      </c>
      <c r="M59" s="9">
        <v>155502</v>
      </c>
      <c r="N59" s="9">
        <v>62064</v>
      </c>
      <c r="O59" s="8">
        <v>0.12121875</v>
      </c>
      <c r="P59" s="9">
        <v>530136</v>
      </c>
      <c r="Q59" s="8">
        <v>1.0354218749999999</v>
      </c>
      <c r="R59" s="9">
        <v>2762642</v>
      </c>
      <c r="S59" s="8">
        <v>0.75</v>
      </c>
      <c r="T59" s="8">
        <v>0.32</v>
      </c>
      <c r="U59" s="9">
        <v>139742821</v>
      </c>
      <c r="V59" s="9">
        <v>12944362</v>
      </c>
      <c r="W59" s="8">
        <v>0.98496697119819976</v>
      </c>
    </row>
    <row r="60" spans="1:23">
      <c r="A60" s="7">
        <v>40752</v>
      </c>
      <c r="B60" s="8">
        <v>0.99998956680648365</v>
      </c>
      <c r="C60" s="9">
        <v>14461</v>
      </c>
      <c r="D60" s="8">
        <v>0.99915709192520619</v>
      </c>
      <c r="E60" s="9">
        <v>16906</v>
      </c>
      <c r="F60" s="9">
        <v>31091</v>
      </c>
      <c r="G60" s="9">
        <v>1693927</v>
      </c>
      <c r="H60" s="8">
        <v>0.97087418761257127</v>
      </c>
      <c r="I60" s="9">
        <v>453185</v>
      </c>
      <c r="J60" s="8">
        <v>0.97624369738627714</v>
      </c>
      <c r="K60" s="9">
        <v>108884</v>
      </c>
      <c r="L60" s="9">
        <v>47305</v>
      </c>
      <c r="M60" s="9">
        <v>155513</v>
      </c>
      <c r="N60" s="9">
        <v>57344</v>
      </c>
      <c r="O60" s="8">
        <v>0.112</v>
      </c>
      <c r="P60" s="9">
        <v>499712</v>
      </c>
      <c r="Q60" s="8">
        <v>0.97599999999999998</v>
      </c>
      <c r="R60" s="9">
        <v>2518540</v>
      </c>
      <c r="S60" s="8">
        <v>0.68</v>
      </c>
      <c r="T60" s="8">
        <v>0.34</v>
      </c>
      <c r="U60" s="9">
        <v>141182419</v>
      </c>
      <c r="V60" s="9">
        <v>13112609</v>
      </c>
      <c r="W60" s="8">
        <v>0.98509087851100707</v>
      </c>
    </row>
    <row r="61" spans="1:23">
      <c r="A61" s="7">
        <v>40753</v>
      </c>
      <c r="B61" s="8">
        <v>0.99999387741243861</v>
      </c>
      <c r="C61" s="9">
        <v>14939</v>
      </c>
      <c r="D61" s="8">
        <v>0.99907235550226914</v>
      </c>
      <c r="E61" s="9">
        <v>17992</v>
      </c>
      <c r="F61" s="9">
        <v>32582</v>
      </c>
      <c r="G61" s="9">
        <v>1574463</v>
      </c>
      <c r="H61" s="8">
        <v>0.97073478385963974</v>
      </c>
      <c r="I61" s="9">
        <v>426838</v>
      </c>
      <c r="J61" s="8">
        <v>0.97743874725305624</v>
      </c>
      <c r="K61" s="9">
        <v>108252</v>
      </c>
      <c r="L61" s="9">
        <v>48062</v>
      </c>
      <c r="M61" s="9">
        <v>155241</v>
      </c>
      <c r="N61" s="9">
        <v>65536</v>
      </c>
      <c r="O61" s="8">
        <v>0.128</v>
      </c>
      <c r="P61" s="9">
        <v>507904</v>
      </c>
      <c r="Q61" s="8">
        <v>0.99199999999999999</v>
      </c>
      <c r="R61" s="9">
        <v>2522848</v>
      </c>
      <c r="S61" s="8">
        <v>0.74</v>
      </c>
      <c r="T61" s="8">
        <v>0.32</v>
      </c>
      <c r="U61" s="9">
        <v>139596193</v>
      </c>
      <c r="V61" s="9">
        <v>12948054</v>
      </c>
      <c r="W61" s="8">
        <v>0.98611588880935774</v>
      </c>
    </row>
    <row r="62" spans="1:23">
      <c r="A62" s="7">
        <v>40754</v>
      </c>
      <c r="B62" s="8">
        <v>0.99999277776479045</v>
      </c>
      <c r="C62" s="9">
        <v>15326</v>
      </c>
      <c r="D62" s="8">
        <v>0.99916146370047076</v>
      </c>
      <c r="E62" s="9">
        <v>17885</v>
      </c>
      <c r="F62" s="9">
        <v>32946</v>
      </c>
      <c r="G62" s="9">
        <v>1604932</v>
      </c>
      <c r="H62" s="8">
        <v>0.97063302370443105</v>
      </c>
      <c r="I62" s="9">
        <v>419210</v>
      </c>
      <c r="J62" s="8">
        <v>0.97840461821044344</v>
      </c>
      <c r="K62" s="9">
        <v>109365</v>
      </c>
      <c r="L62" s="9">
        <v>47388</v>
      </c>
      <c r="M62" s="9">
        <v>155036</v>
      </c>
      <c r="N62" s="9">
        <v>57344</v>
      </c>
      <c r="O62" s="8">
        <v>0.112</v>
      </c>
      <c r="P62" s="9">
        <v>516096</v>
      </c>
      <c r="Q62" s="8">
        <v>1.008</v>
      </c>
      <c r="R62" s="9">
        <v>2813721</v>
      </c>
      <c r="S62" s="8">
        <v>0.7</v>
      </c>
      <c r="T62" s="8">
        <v>0.31</v>
      </c>
      <c r="U62" s="9">
        <v>139638339</v>
      </c>
      <c r="V62" s="9">
        <v>12934849</v>
      </c>
      <c r="W62" s="8">
        <v>0.98610324442460151</v>
      </c>
    </row>
    <row r="63" spans="1:23">
      <c r="A63" s="7">
        <v>40755</v>
      </c>
      <c r="B63" s="8">
        <v>0.99999722382182965</v>
      </c>
      <c r="C63" s="9">
        <v>29963</v>
      </c>
      <c r="D63" s="8">
        <v>0.99905604441774354</v>
      </c>
      <c r="E63" s="9">
        <v>35676</v>
      </c>
      <c r="F63" s="9">
        <v>32771</v>
      </c>
      <c r="G63" s="9">
        <v>1591431</v>
      </c>
      <c r="H63" s="8">
        <v>0.96940866427762185</v>
      </c>
      <c r="I63" s="9">
        <v>402833</v>
      </c>
      <c r="J63" s="8">
        <v>0.97729828489721549</v>
      </c>
      <c r="K63" s="9">
        <v>212512</v>
      </c>
      <c r="L63" s="9">
        <v>95341</v>
      </c>
      <c r="M63" s="9">
        <v>307853</v>
      </c>
      <c r="N63" s="9">
        <v>65536</v>
      </c>
      <c r="O63" s="8">
        <v>0.128</v>
      </c>
      <c r="P63" s="9">
        <v>507904</v>
      </c>
      <c r="Q63" s="8">
        <v>0.99199999999999999</v>
      </c>
      <c r="R63" s="9">
        <v>2840748</v>
      </c>
      <c r="S63" s="8">
        <v>0.75</v>
      </c>
      <c r="T63" s="8">
        <v>0.3</v>
      </c>
      <c r="U63" s="9">
        <v>137578249</v>
      </c>
      <c r="V63" s="9">
        <v>12728364</v>
      </c>
      <c r="W63" s="8">
        <v>0.98640684086805441</v>
      </c>
    </row>
    <row r="64" spans="1:23">
      <c r="A64" s="7">
        <v>40756</v>
      </c>
      <c r="B64" s="8">
        <v>0.99999753643844425</v>
      </c>
      <c r="C64" s="9">
        <v>15170</v>
      </c>
      <c r="D64" s="8">
        <v>0.99906242391906797</v>
      </c>
      <c r="E64" s="9">
        <v>17968</v>
      </c>
      <c r="F64" s="9">
        <v>32800</v>
      </c>
      <c r="G64" s="9">
        <v>1604779</v>
      </c>
      <c r="H64" s="8">
        <v>0.96634988369115005</v>
      </c>
      <c r="I64" s="9">
        <v>427280</v>
      </c>
      <c r="J64" s="8">
        <v>0.97450851900393187</v>
      </c>
      <c r="K64" s="9">
        <v>107807</v>
      </c>
      <c r="L64" s="9">
        <v>48187</v>
      </c>
      <c r="M64" s="9">
        <v>155559</v>
      </c>
      <c r="N64" s="9">
        <v>65536</v>
      </c>
      <c r="O64" s="8">
        <v>0.10884353741496598</v>
      </c>
      <c r="P64" s="9">
        <v>548864</v>
      </c>
      <c r="Q64" s="8">
        <v>0.91156462585034015</v>
      </c>
      <c r="R64" s="9">
        <v>2524208</v>
      </c>
      <c r="S64" s="8">
        <v>0.85</v>
      </c>
      <c r="T64" s="8">
        <v>0.44</v>
      </c>
      <c r="U64" s="9">
        <v>140493177</v>
      </c>
      <c r="V64" s="9">
        <v>13017647</v>
      </c>
      <c r="W64" s="8">
        <v>0.98510937970674672</v>
      </c>
    </row>
    <row r="65" spans="1:23">
      <c r="A65" s="7">
        <v>40757</v>
      </c>
      <c r="B65" s="8">
        <v>0.9999947925055227</v>
      </c>
      <c r="C65" s="9">
        <v>15253</v>
      </c>
      <c r="D65" s="8">
        <v>0.9991077987219138</v>
      </c>
      <c r="E65" s="9">
        <v>18187</v>
      </c>
      <c r="F65" s="9">
        <v>33172</v>
      </c>
      <c r="G65" s="9">
        <v>1603772</v>
      </c>
      <c r="H65" s="8">
        <v>0.96639671973322894</v>
      </c>
      <c r="I65" s="9">
        <v>415222</v>
      </c>
      <c r="J65" s="8">
        <v>0.97274229207508278</v>
      </c>
      <c r="K65" s="9">
        <v>108461</v>
      </c>
      <c r="L65" s="9">
        <v>48152</v>
      </c>
      <c r="M65" s="9">
        <v>155705</v>
      </c>
      <c r="N65" s="9">
        <v>65536</v>
      </c>
      <c r="O65" s="8">
        <v>0.10884353741496598</v>
      </c>
      <c r="P65" s="9">
        <v>532480</v>
      </c>
      <c r="Q65" s="8">
        <v>0.88435374149659862</v>
      </c>
      <c r="R65" s="9">
        <v>2553144</v>
      </c>
      <c r="S65" s="8">
        <v>0.74</v>
      </c>
      <c r="T65" s="8">
        <v>0.32</v>
      </c>
      <c r="U65" s="9">
        <v>140051087</v>
      </c>
      <c r="V65" s="9">
        <v>12956798</v>
      </c>
      <c r="W65" s="8">
        <v>0.98525028567501649</v>
      </c>
    </row>
    <row r="66" spans="1:23">
      <c r="A66" s="7">
        <v>40758</v>
      </c>
      <c r="B66" s="8">
        <v>0.99992916724603753</v>
      </c>
      <c r="C66" s="9">
        <v>15237</v>
      </c>
      <c r="D66" s="8">
        <v>0.99892025213655111</v>
      </c>
      <c r="E66" s="9">
        <v>18023</v>
      </c>
      <c r="F66" s="9">
        <v>32858</v>
      </c>
      <c r="G66" s="9">
        <v>1611974</v>
      </c>
      <c r="H66" s="8">
        <v>0.96706460526038263</v>
      </c>
      <c r="I66" s="9">
        <v>413813</v>
      </c>
      <c r="J66" s="8">
        <v>0.97082740271571943</v>
      </c>
      <c r="K66" s="9">
        <v>109271</v>
      </c>
      <c r="L66" s="9">
        <v>48081</v>
      </c>
      <c r="M66" s="9">
        <v>157176</v>
      </c>
      <c r="N66" s="9">
        <v>65536</v>
      </c>
      <c r="O66" s="8">
        <v>0.10884353741496598</v>
      </c>
      <c r="P66" s="9">
        <v>524288</v>
      </c>
      <c r="Q66" s="8">
        <v>0.87074829931972786</v>
      </c>
      <c r="R66" s="9">
        <v>2525622</v>
      </c>
      <c r="S66" s="8">
        <v>0.8</v>
      </c>
      <c r="T66" s="8">
        <v>0.33</v>
      </c>
      <c r="U66" s="9">
        <v>140460172</v>
      </c>
      <c r="V66" s="9">
        <v>12995979</v>
      </c>
      <c r="W66" s="8">
        <v>0.98456545085551306</v>
      </c>
    </row>
    <row r="67" spans="1:23">
      <c r="A67" s="7">
        <v>40759</v>
      </c>
      <c r="B67" s="8">
        <v>0.99990627847221947</v>
      </c>
      <c r="C67" s="9">
        <v>14263</v>
      </c>
      <c r="D67" s="8">
        <v>0.99897114973663137</v>
      </c>
      <c r="E67" s="9">
        <v>16924</v>
      </c>
      <c r="F67" s="9">
        <v>30884</v>
      </c>
      <c r="G67" s="9">
        <v>1634850</v>
      </c>
      <c r="H67" s="8">
        <v>0.96522983759977976</v>
      </c>
      <c r="I67" s="9">
        <v>432662</v>
      </c>
      <c r="J67" s="8">
        <v>0.97585181966523526</v>
      </c>
      <c r="K67" s="9">
        <v>108168</v>
      </c>
      <c r="L67" s="9">
        <v>47776</v>
      </c>
      <c r="M67" s="9">
        <v>155061</v>
      </c>
      <c r="N67" s="9">
        <v>49152</v>
      </c>
      <c r="O67" s="8">
        <v>8.1632653061224483E-2</v>
      </c>
      <c r="P67" s="9">
        <v>483328</v>
      </c>
      <c r="Q67" s="8">
        <v>0.80272108843537415</v>
      </c>
      <c r="R67" s="9">
        <v>2441319</v>
      </c>
      <c r="S67" s="8">
        <v>0.7</v>
      </c>
      <c r="T67" s="8">
        <v>0.32</v>
      </c>
      <c r="U67" s="9">
        <v>140452144</v>
      </c>
      <c r="V67" s="9">
        <v>13016241</v>
      </c>
      <c r="W67" s="8">
        <v>0.98580302792521546</v>
      </c>
    </row>
    <row r="68" spans="1:23">
      <c r="A68" s="7">
        <v>40760</v>
      </c>
      <c r="B68" s="8">
        <v>0.99999381101628781</v>
      </c>
      <c r="C68" s="9">
        <v>15545</v>
      </c>
      <c r="D68" s="8">
        <v>0.99896748058414575</v>
      </c>
      <c r="E68" s="9">
        <v>18033</v>
      </c>
      <c r="F68" s="9">
        <v>33193</v>
      </c>
      <c r="G68" s="9">
        <v>1601530</v>
      </c>
      <c r="H68" s="8">
        <v>0.96522075765049675</v>
      </c>
      <c r="I68" s="9">
        <v>423586</v>
      </c>
      <c r="J68" s="8">
        <v>0.97467810550868061</v>
      </c>
      <c r="K68" s="9">
        <v>109255</v>
      </c>
      <c r="L68" s="9">
        <v>48227</v>
      </c>
      <c r="M68" s="9">
        <v>156192</v>
      </c>
      <c r="N68" s="9">
        <v>65536</v>
      </c>
      <c r="O68" s="8">
        <v>0.10884353741496598</v>
      </c>
      <c r="P68" s="9">
        <v>540672</v>
      </c>
      <c r="Q68" s="8">
        <v>0.89795918367346939</v>
      </c>
      <c r="R68" s="9">
        <v>2590572</v>
      </c>
      <c r="S68" s="8">
        <v>0.81</v>
      </c>
      <c r="T68" s="8">
        <v>0.3</v>
      </c>
      <c r="U68" s="9">
        <v>142096582</v>
      </c>
      <c r="V68" s="9">
        <v>13187517</v>
      </c>
      <c r="W68" s="8">
        <v>0.98586759071581442</v>
      </c>
    </row>
    <row r="69" spans="1:23">
      <c r="A69" s="7">
        <v>40761</v>
      </c>
      <c r="B69" s="8">
        <v>0.99999091304082977</v>
      </c>
      <c r="C69" s="9">
        <v>15899</v>
      </c>
      <c r="D69" s="8">
        <v>0.99795315521600492</v>
      </c>
      <c r="E69" s="9">
        <v>18032</v>
      </c>
      <c r="F69" s="9">
        <v>33584</v>
      </c>
      <c r="G69" s="9">
        <v>1600509</v>
      </c>
      <c r="H69" s="8">
        <v>0.96638444394876877</v>
      </c>
      <c r="I69" s="9">
        <v>443428</v>
      </c>
      <c r="J69" s="8">
        <v>0.98107471787979106</v>
      </c>
      <c r="K69" s="9">
        <v>109780</v>
      </c>
      <c r="L69" s="9">
        <v>47518</v>
      </c>
      <c r="M69" s="9">
        <v>155959</v>
      </c>
      <c r="N69" s="9">
        <v>65536</v>
      </c>
      <c r="O69" s="8">
        <v>0.10884353741496598</v>
      </c>
      <c r="P69" s="9">
        <v>524288</v>
      </c>
      <c r="Q69" s="8">
        <v>0.87074829931972786</v>
      </c>
      <c r="R69" s="9">
        <v>2796805</v>
      </c>
      <c r="S69" s="8">
        <v>0.89</v>
      </c>
      <c r="T69" s="8">
        <v>0.31</v>
      </c>
      <c r="U69" s="9">
        <v>143051242</v>
      </c>
      <c r="V69" s="9">
        <v>13278209</v>
      </c>
      <c r="W69" s="8">
        <v>0.9848876929126118</v>
      </c>
    </row>
    <row r="70" spans="1:23">
      <c r="A70" s="7">
        <v>40762</v>
      </c>
      <c r="B70" s="8">
        <v>0.99999096512991892</v>
      </c>
      <c r="C70" s="9">
        <v>15544</v>
      </c>
      <c r="D70" s="8">
        <v>0.99866407634734011</v>
      </c>
      <c r="E70" s="9">
        <v>18211</v>
      </c>
      <c r="F70" s="9">
        <v>33447</v>
      </c>
      <c r="G70" s="9">
        <v>1699430</v>
      </c>
      <c r="H70" s="8">
        <v>0.96725784527753422</v>
      </c>
      <c r="I70" s="9">
        <v>419295</v>
      </c>
      <c r="J70" s="8">
        <v>0.97846861994538448</v>
      </c>
      <c r="K70" s="9">
        <v>110254</v>
      </c>
      <c r="L70" s="9">
        <v>48164</v>
      </c>
      <c r="M70" s="9">
        <v>155996</v>
      </c>
      <c r="N70" s="9">
        <v>65536</v>
      </c>
      <c r="O70" s="8">
        <v>0.10884353741496598</v>
      </c>
      <c r="P70" s="9">
        <v>483328</v>
      </c>
      <c r="Q70" s="8">
        <v>0.80272108843537415</v>
      </c>
      <c r="R70" s="9">
        <v>2816073</v>
      </c>
      <c r="S70" s="8">
        <v>0.88</v>
      </c>
      <c r="T70" s="8">
        <v>0.3</v>
      </c>
      <c r="U70" s="9">
        <v>141701939</v>
      </c>
      <c r="V70" s="9">
        <v>13157542</v>
      </c>
      <c r="W70" s="8">
        <v>0.98361988179521587</v>
      </c>
    </row>
    <row r="71" spans="1:23">
      <c r="A71" s="7">
        <v>40763</v>
      </c>
      <c r="B71" s="8">
        <v>0.99954755573459986</v>
      </c>
      <c r="C71" s="9">
        <v>15672</v>
      </c>
      <c r="D71" s="8">
        <v>0.99861211695885455</v>
      </c>
      <c r="E71" s="9">
        <v>18615</v>
      </c>
      <c r="F71" s="9">
        <v>34004</v>
      </c>
      <c r="G71" s="9">
        <v>1717164</v>
      </c>
      <c r="H71" s="8">
        <v>0.97404848925321053</v>
      </c>
      <c r="I71" s="9">
        <v>438807</v>
      </c>
      <c r="J71" s="8">
        <v>0.97631076988288701</v>
      </c>
      <c r="K71" s="9">
        <v>109103</v>
      </c>
      <c r="L71" s="9">
        <v>48864</v>
      </c>
      <c r="M71" s="9">
        <v>157378</v>
      </c>
      <c r="N71" s="9">
        <v>65536</v>
      </c>
      <c r="O71" s="8">
        <v>0.10884353741496598</v>
      </c>
      <c r="P71" s="9">
        <v>532480</v>
      </c>
      <c r="Q71" s="8">
        <v>0.88435374149659862</v>
      </c>
      <c r="R71" s="9">
        <v>2592419</v>
      </c>
      <c r="S71" s="8">
        <v>0.91</v>
      </c>
      <c r="T71" s="8">
        <v>0.3</v>
      </c>
      <c r="U71" s="9">
        <v>144597713</v>
      </c>
      <c r="V71" s="9">
        <v>13399558</v>
      </c>
      <c r="W71" s="8">
        <v>0.98410650820583812</v>
      </c>
    </row>
    <row r="72" spans="1:23">
      <c r="A72" s="7">
        <v>40764</v>
      </c>
      <c r="B72" s="8">
        <v>0.99979753072227184</v>
      </c>
      <c r="C72" s="9">
        <v>16020</v>
      </c>
      <c r="D72" s="8">
        <v>0.99882900770260941</v>
      </c>
      <c r="E72" s="9">
        <v>19018</v>
      </c>
      <c r="F72" s="9">
        <v>34690</v>
      </c>
      <c r="G72" s="9">
        <v>1623189</v>
      </c>
      <c r="H72" s="8">
        <v>0.97173095677706045</v>
      </c>
      <c r="I72" s="9">
        <v>441125</v>
      </c>
      <c r="J72" s="8">
        <v>0.97605894020969108</v>
      </c>
      <c r="K72" s="9">
        <v>109037</v>
      </c>
      <c r="L72" s="9">
        <v>49151</v>
      </c>
      <c r="M72" s="9">
        <v>157070</v>
      </c>
      <c r="N72" s="9">
        <v>65536</v>
      </c>
      <c r="O72" s="8">
        <v>9.3023255813953487E-2</v>
      </c>
      <c r="P72" s="9">
        <v>573440</v>
      </c>
      <c r="Q72" s="8">
        <v>0.81395348837209303</v>
      </c>
      <c r="R72" s="9">
        <v>2758672</v>
      </c>
      <c r="S72" s="8">
        <v>0.91</v>
      </c>
      <c r="T72" s="8">
        <v>0.37</v>
      </c>
      <c r="U72" s="9">
        <v>147852405</v>
      </c>
      <c r="V72" s="9">
        <v>13646180</v>
      </c>
      <c r="W72" s="8">
        <v>0.98400836270795755</v>
      </c>
    </row>
    <row r="73" spans="1:23">
      <c r="A73" s="7">
        <v>40765</v>
      </c>
      <c r="B73" s="8">
        <v>0.9999104722180312</v>
      </c>
      <c r="C73" s="9">
        <v>15944</v>
      </c>
      <c r="D73" s="8">
        <v>0.998904985938323</v>
      </c>
      <c r="E73" s="9">
        <v>19430</v>
      </c>
      <c r="F73" s="9">
        <v>34959</v>
      </c>
      <c r="G73" s="9">
        <v>1702009</v>
      </c>
      <c r="H73" s="8">
        <v>0.97051660713897514</v>
      </c>
      <c r="I73" s="9">
        <v>442184</v>
      </c>
      <c r="J73" s="8">
        <v>0.97488149729524365</v>
      </c>
      <c r="K73" s="9">
        <v>109456</v>
      </c>
      <c r="L73" s="9">
        <v>49726</v>
      </c>
      <c r="M73" s="9">
        <v>157820</v>
      </c>
      <c r="N73" s="9">
        <v>65536</v>
      </c>
      <c r="O73" s="8">
        <v>9.3023255813953487E-2</v>
      </c>
      <c r="P73" s="9">
        <v>573440</v>
      </c>
      <c r="Q73" s="8">
        <v>0.81395348837209303</v>
      </c>
      <c r="R73" s="9">
        <v>2794951</v>
      </c>
      <c r="S73" s="8">
        <v>0.92</v>
      </c>
      <c r="T73" s="8">
        <v>0.34</v>
      </c>
      <c r="U73" s="9">
        <v>150110501</v>
      </c>
      <c r="V73" s="9">
        <v>13852982</v>
      </c>
      <c r="W73" s="8">
        <v>0.98506797894785181</v>
      </c>
    </row>
    <row r="74" spans="1:23">
      <c r="A74" s="7">
        <v>40766</v>
      </c>
      <c r="B74" s="8">
        <v>0.99985909595967726</v>
      </c>
      <c r="C74" s="9">
        <v>14815</v>
      </c>
      <c r="D74" s="8">
        <v>0.99877291690688585</v>
      </c>
      <c r="E74" s="9">
        <v>18169</v>
      </c>
      <c r="F74" s="9">
        <v>32263</v>
      </c>
      <c r="G74" s="9">
        <v>1769341</v>
      </c>
      <c r="H74" s="8">
        <v>0.97101067572616018</v>
      </c>
      <c r="I74" s="9">
        <v>475841</v>
      </c>
      <c r="J74" s="8">
        <v>0.98024550217404549</v>
      </c>
      <c r="K74" s="9">
        <v>109501</v>
      </c>
      <c r="L74" s="9">
        <v>49262</v>
      </c>
      <c r="M74" s="9">
        <v>157887</v>
      </c>
      <c r="N74" s="9">
        <v>57344</v>
      </c>
      <c r="O74" s="8">
        <v>8.1395348837209308E-2</v>
      </c>
      <c r="P74" s="9">
        <v>532480</v>
      </c>
      <c r="Q74" s="8">
        <v>0.7558139534883721</v>
      </c>
      <c r="R74" s="9">
        <v>2652809</v>
      </c>
      <c r="S74" s="8">
        <v>0.86</v>
      </c>
      <c r="T74" s="8">
        <v>0.31</v>
      </c>
      <c r="U74" s="9">
        <v>149550091</v>
      </c>
      <c r="V74" s="9">
        <v>13835378</v>
      </c>
      <c r="W74" s="8">
        <v>0.98403735257872127</v>
      </c>
    </row>
    <row r="75" spans="1:23">
      <c r="A75" s="7">
        <v>40767</v>
      </c>
      <c r="B75" s="8">
        <v>0.99987511612264413</v>
      </c>
      <c r="C75" s="9">
        <v>15575</v>
      </c>
      <c r="D75" s="8">
        <v>0.99851778471570085</v>
      </c>
      <c r="E75" s="9">
        <v>18793</v>
      </c>
      <c r="F75" s="9">
        <v>33892</v>
      </c>
      <c r="G75" s="9">
        <v>1618466</v>
      </c>
      <c r="H75" s="8">
        <v>0.96544258575713049</v>
      </c>
      <c r="I75" s="9">
        <v>434063</v>
      </c>
      <c r="J75" s="8">
        <v>0.97752399997235428</v>
      </c>
      <c r="K75" s="9">
        <v>109365</v>
      </c>
      <c r="L75" s="9">
        <v>48847</v>
      </c>
      <c r="M75" s="9">
        <v>157440</v>
      </c>
      <c r="N75" s="9">
        <v>57344</v>
      </c>
      <c r="O75" s="8">
        <v>8.1395348837209308E-2</v>
      </c>
      <c r="P75" s="9">
        <v>557056</v>
      </c>
      <c r="Q75" s="8">
        <v>0.79069767441860461</v>
      </c>
      <c r="R75" s="9">
        <v>2690419</v>
      </c>
      <c r="S75" s="8">
        <v>0.89</v>
      </c>
      <c r="T75" s="8">
        <v>0.32</v>
      </c>
      <c r="U75" s="9">
        <v>149755318</v>
      </c>
      <c r="V75" s="9">
        <v>13777086</v>
      </c>
      <c r="W75" s="8">
        <v>0.98354807805545152</v>
      </c>
    </row>
    <row r="76" spans="1:23">
      <c r="A76" s="7">
        <v>40768</v>
      </c>
      <c r="B76" s="8">
        <v>0.99997073641892653</v>
      </c>
      <c r="C76" s="9">
        <v>16959</v>
      </c>
      <c r="D76" s="8">
        <v>0.99838247847767125</v>
      </c>
      <c r="E76" s="9">
        <v>18672</v>
      </c>
      <c r="F76" s="9">
        <v>35311</v>
      </c>
      <c r="G76" s="9">
        <v>1611044</v>
      </c>
      <c r="H76" s="8">
        <v>0.96856200078955013</v>
      </c>
      <c r="I76" s="9">
        <v>404329</v>
      </c>
      <c r="J76" s="8">
        <v>0.97429073848277026</v>
      </c>
      <c r="K76" s="9">
        <v>110503</v>
      </c>
      <c r="L76" s="9">
        <v>47634</v>
      </c>
      <c r="M76" s="9">
        <v>157220</v>
      </c>
      <c r="N76" s="9">
        <v>65536</v>
      </c>
      <c r="O76" s="8">
        <v>9.3023255813953487E-2</v>
      </c>
      <c r="P76" s="9">
        <v>532480</v>
      </c>
      <c r="Q76" s="8">
        <v>0.7558139534883721</v>
      </c>
      <c r="R76" s="9">
        <v>2851562</v>
      </c>
      <c r="S76" s="8">
        <v>0.9</v>
      </c>
      <c r="T76" s="8">
        <v>0.32</v>
      </c>
      <c r="U76" s="9">
        <v>147055116</v>
      </c>
      <c r="V76" s="9">
        <v>13569178</v>
      </c>
      <c r="W76" s="8">
        <v>0.98397615772990565</v>
      </c>
    </row>
    <row r="77" spans="1:23">
      <c r="A77" s="7">
        <v>40769</v>
      </c>
      <c r="B77" s="8">
        <v>0.9999204599996615</v>
      </c>
      <c r="C77" s="9">
        <v>16237</v>
      </c>
      <c r="D77" s="8">
        <v>0.99819374707209663</v>
      </c>
      <c r="E77" s="9">
        <v>18578</v>
      </c>
      <c r="F77" s="9">
        <v>34462</v>
      </c>
      <c r="G77" s="9">
        <v>1670349</v>
      </c>
      <c r="H77" s="8">
        <v>0.96796537729540355</v>
      </c>
      <c r="I77" s="9">
        <v>411036</v>
      </c>
      <c r="J77" s="8">
        <v>0.97133584406232054</v>
      </c>
      <c r="K77" s="9">
        <v>111320</v>
      </c>
      <c r="L77" s="9">
        <v>47238</v>
      </c>
      <c r="M77" s="9">
        <v>156264</v>
      </c>
      <c r="N77" s="9">
        <v>57344</v>
      </c>
      <c r="O77" s="8">
        <v>8.1395348837209308E-2</v>
      </c>
      <c r="P77" s="9">
        <v>524288</v>
      </c>
      <c r="Q77" s="8">
        <v>0.7441860465116279</v>
      </c>
      <c r="R77" s="9">
        <v>2889779</v>
      </c>
      <c r="S77" s="8">
        <v>0.87</v>
      </c>
      <c r="T77" s="8">
        <v>0.33</v>
      </c>
      <c r="U77" s="9">
        <v>141947303</v>
      </c>
      <c r="V77" s="9">
        <v>13093002</v>
      </c>
      <c r="W77" s="8">
        <v>0.98342645647244242</v>
      </c>
    </row>
    <row r="78" spans="1:23">
      <c r="A78" s="7">
        <v>40770</v>
      </c>
      <c r="B78" s="8">
        <v>0.99942212278608056</v>
      </c>
      <c r="C78" s="9">
        <v>15736</v>
      </c>
      <c r="D78" s="8">
        <v>0.99813822131392882</v>
      </c>
      <c r="E78" s="9">
        <v>19087</v>
      </c>
      <c r="F78" s="9">
        <v>34495</v>
      </c>
      <c r="G78" s="9">
        <v>1564291</v>
      </c>
      <c r="H78" s="8">
        <v>0.97351579725255721</v>
      </c>
      <c r="I78" s="9">
        <v>431557</v>
      </c>
      <c r="J78" s="8">
        <v>0.97651526913014963</v>
      </c>
      <c r="K78" s="9">
        <v>108750</v>
      </c>
      <c r="L78" s="9">
        <v>49143</v>
      </c>
      <c r="M78" s="9">
        <v>157003</v>
      </c>
      <c r="N78" s="9">
        <v>65536</v>
      </c>
      <c r="O78" s="8">
        <v>9.3023255813953487E-2</v>
      </c>
      <c r="P78" s="9">
        <v>540672</v>
      </c>
      <c r="Q78" s="8">
        <v>0.76744186046511631</v>
      </c>
      <c r="R78" s="9">
        <v>2492274</v>
      </c>
      <c r="S78" s="8">
        <v>0.92</v>
      </c>
      <c r="T78" s="8">
        <v>0.32</v>
      </c>
      <c r="U78" s="9">
        <v>146149338</v>
      </c>
      <c r="V78" s="9">
        <v>13470903</v>
      </c>
      <c r="W78" s="8">
        <v>0.98447722683489236</v>
      </c>
    </row>
    <row r="79" spans="1:23">
      <c r="A79" s="7">
        <v>40771</v>
      </c>
      <c r="B79" s="8">
        <v>0.99998761878230724</v>
      </c>
      <c r="C79" s="9">
        <v>15550</v>
      </c>
      <c r="D79" s="8">
        <v>0.99887157033750373</v>
      </c>
      <c r="E79" s="9">
        <v>18819</v>
      </c>
      <c r="F79" s="9">
        <v>34064</v>
      </c>
      <c r="G79" s="9">
        <v>1641399</v>
      </c>
      <c r="H79" s="8">
        <v>0.97506395458995654</v>
      </c>
      <c r="I79" s="9">
        <v>437578</v>
      </c>
      <c r="J79" s="8">
        <v>0.97708522823359489</v>
      </c>
      <c r="K79" s="9">
        <v>109215</v>
      </c>
      <c r="L79" s="9">
        <v>49299</v>
      </c>
      <c r="M79" s="9">
        <v>157298</v>
      </c>
      <c r="N79" s="9">
        <v>65536</v>
      </c>
      <c r="O79" s="8">
        <v>9.3023255813953487E-2</v>
      </c>
      <c r="P79" s="9">
        <v>557056</v>
      </c>
      <c r="Q79" s="8">
        <v>0.79069767441860461</v>
      </c>
      <c r="R79" s="9">
        <v>2565740</v>
      </c>
      <c r="S79" s="8">
        <v>0.9</v>
      </c>
      <c r="T79" s="8">
        <v>0.37</v>
      </c>
      <c r="U79" s="9">
        <v>147391054</v>
      </c>
      <c r="V79" s="9">
        <v>13595205</v>
      </c>
      <c r="W79" s="8">
        <v>0.98483603753045457</v>
      </c>
    </row>
    <row r="80" spans="1:23">
      <c r="A80" s="7">
        <v>40772</v>
      </c>
      <c r="B80" s="8">
        <v>0.99981937690431522</v>
      </c>
      <c r="C80" s="9">
        <v>15067</v>
      </c>
      <c r="D80" s="8">
        <v>0.99872989632873332</v>
      </c>
      <c r="E80" s="9">
        <v>17715</v>
      </c>
      <c r="F80" s="9">
        <v>32443</v>
      </c>
      <c r="G80" s="9">
        <v>1660919</v>
      </c>
      <c r="H80" s="8">
        <v>0.97526730683434892</v>
      </c>
      <c r="I80" s="9">
        <v>451476</v>
      </c>
      <c r="J80" s="8">
        <v>0.97767544675685969</v>
      </c>
      <c r="K80" s="9">
        <v>109322</v>
      </c>
      <c r="L80" s="9">
        <v>49758</v>
      </c>
      <c r="M80" s="9">
        <v>157710</v>
      </c>
      <c r="N80" s="9">
        <v>64000</v>
      </c>
      <c r="O80" s="8">
        <v>9.3023255813953487E-2</v>
      </c>
      <c r="P80" s="9">
        <v>536000</v>
      </c>
      <c r="Q80" s="8">
        <v>0.77906976744186052</v>
      </c>
      <c r="R80" s="9">
        <v>2629961</v>
      </c>
      <c r="S80" s="8">
        <v>0.82</v>
      </c>
      <c r="T80" s="8">
        <v>0.31</v>
      </c>
      <c r="U80" s="9">
        <v>148849023</v>
      </c>
      <c r="V80" s="9">
        <v>13739246</v>
      </c>
      <c r="W80" s="8">
        <v>0.98535825801997134</v>
      </c>
    </row>
    <row r="81" spans="1:23">
      <c r="A81" s="7">
        <v>40773</v>
      </c>
      <c r="B81" s="8">
        <v>0.99990631517417816</v>
      </c>
      <c r="C81" s="9">
        <v>15976</v>
      </c>
      <c r="D81" s="8">
        <v>0.99907854782221139</v>
      </c>
      <c r="E81" s="9">
        <v>18896</v>
      </c>
      <c r="F81" s="9">
        <v>34460</v>
      </c>
      <c r="G81" s="9">
        <v>1568539</v>
      </c>
      <c r="H81" s="8">
        <v>0.97348743002246041</v>
      </c>
      <c r="I81" s="9">
        <v>423475</v>
      </c>
      <c r="J81" s="8">
        <v>0.97868351142334253</v>
      </c>
      <c r="K81" s="9">
        <v>109571</v>
      </c>
      <c r="L81" s="9">
        <v>49220</v>
      </c>
      <c r="M81" s="9">
        <v>158186</v>
      </c>
      <c r="N81" s="9">
        <v>64000</v>
      </c>
      <c r="O81" s="8">
        <v>9.3023255813953487E-2</v>
      </c>
      <c r="P81" s="9">
        <v>584000</v>
      </c>
      <c r="Q81" s="8">
        <v>0.84883720930232553</v>
      </c>
      <c r="R81" s="9">
        <v>260503</v>
      </c>
      <c r="S81" s="8">
        <v>0.91</v>
      </c>
      <c r="T81" s="8">
        <v>0.35</v>
      </c>
      <c r="U81" s="9">
        <v>147639149</v>
      </c>
      <c r="V81" s="9">
        <v>13610340</v>
      </c>
      <c r="W81" s="8">
        <v>0.98485239269233205</v>
      </c>
    </row>
    <row r="82" spans="1:23">
      <c r="A82" s="7">
        <v>40774</v>
      </c>
      <c r="B82" s="8">
        <v>0.99981210906173412</v>
      </c>
      <c r="C82" s="9">
        <v>16049</v>
      </c>
      <c r="D82" s="8">
        <v>0.99896925161007133</v>
      </c>
      <c r="E82" s="9">
        <v>19009</v>
      </c>
      <c r="F82" s="9">
        <v>34715</v>
      </c>
      <c r="G82" s="9">
        <v>1656030</v>
      </c>
      <c r="H82" s="8">
        <v>0.97639475130281461</v>
      </c>
      <c r="I82" s="9">
        <v>432177</v>
      </c>
      <c r="J82" s="8">
        <v>0.97556788075256207</v>
      </c>
      <c r="K82" s="9">
        <v>109490</v>
      </c>
      <c r="L82" s="9">
        <v>49483</v>
      </c>
      <c r="M82" s="9">
        <v>157895</v>
      </c>
      <c r="N82" s="9">
        <v>64000</v>
      </c>
      <c r="O82" s="8">
        <v>9.3023255813953487E-2</v>
      </c>
      <c r="P82" s="9">
        <v>560000</v>
      </c>
      <c r="Q82" s="8">
        <v>0.81395348837209303</v>
      </c>
      <c r="R82" s="9">
        <v>2732819</v>
      </c>
      <c r="S82" s="8">
        <v>0.92</v>
      </c>
      <c r="T82" s="8">
        <v>0.33</v>
      </c>
      <c r="U82" s="9">
        <v>150614562</v>
      </c>
      <c r="V82" s="9">
        <v>13915712</v>
      </c>
      <c r="W82" s="8">
        <v>0.9835103753686486</v>
      </c>
    </row>
    <row r="83" spans="1:23">
      <c r="A83" s="7">
        <v>40775</v>
      </c>
      <c r="B83" s="8">
        <v>0.99997649706096647</v>
      </c>
      <c r="C83" s="9">
        <v>16841</v>
      </c>
      <c r="D83" s="8">
        <v>0.99856248015885818</v>
      </c>
      <c r="E83" s="9">
        <v>19265</v>
      </c>
      <c r="F83" s="9">
        <v>35677</v>
      </c>
      <c r="G83" s="9">
        <v>1700827</v>
      </c>
      <c r="H83" s="8">
        <v>0.97697767027451943</v>
      </c>
      <c r="I83" s="9">
        <v>423918</v>
      </c>
      <c r="J83" s="8">
        <v>0.97890629791610639</v>
      </c>
      <c r="K83" s="9">
        <v>110119</v>
      </c>
      <c r="L83" s="9">
        <v>49541</v>
      </c>
      <c r="M83" s="9">
        <v>158001</v>
      </c>
      <c r="N83" s="9">
        <v>64000</v>
      </c>
      <c r="O83" s="8">
        <v>9.3023255813953487E-2</v>
      </c>
      <c r="P83" s="9">
        <v>544000</v>
      </c>
      <c r="Q83" s="8">
        <v>0.79069767441860461</v>
      </c>
      <c r="R83" s="9">
        <v>2885690</v>
      </c>
      <c r="S83" s="8">
        <v>0.91</v>
      </c>
      <c r="T83" s="8">
        <v>0.31</v>
      </c>
      <c r="U83" s="9">
        <v>152864384</v>
      </c>
      <c r="V83" s="9">
        <v>14074008</v>
      </c>
      <c r="W83" s="8">
        <v>0.98430254707273701</v>
      </c>
    </row>
    <row r="84" spans="1:23">
      <c r="A84" s="7">
        <v>40776</v>
      </c>
      <c r="B84" s="8">
        <v>0.99999799691233138</v>
      </c>
      <c r="C84" s="9">
        <v>16143</v>
      </c>
      <c r="D84" s="8">
        <v>0.99889276454910403</v>
      </c>
      <c r="E84" s="9">
        <v>19102</v>
      </c>
      <c r="F84" s="9">
        <v>34919</v>
      </c>
      <c r="G84" s="9">
        <v>1668508</v>
      </c>
      <c r="H84" s="8">
        <v>0.97701719140693366</v>
      </c>
      <c r="I84" s="9">
        <v>413233</v>
      </c>
      <c r="J84" s="8">
        <v>0.98108089140993093</v>
      </c>
      <c r="K84" s="9">
        <v>110268</v>
      </c>
      <c r="L84" s="9">
        <v>49219</v>
      </c>
      <c r="M84" s="9">
        <v>156804</v>
      </c>
      <c r="N84" s="9">
        <v>72000</v>
      </c>
      <c r="O84" s="8">
        <v>0.10465116279069768</v>
      </c>
      <c r="P84" s="9">
        <v>528000</v>
      </c>
      <c r="Q84" s="8">
        <v>0.76744186046511631</v>
      </c>
      <c r="R84" s="9">
        <v>3044165</v>
      </c>
      <c r="S84" s="8">
        <v>0.86</v>
      </c>
      <c r="T84" s="8">
        <v>0.31</v>
      </c>
      <c r="U84" s="9">
        <v>149616790</v>
      </c>
      <c r="V84" s="9">
        <v>13752728</v>
      </c>
      <c r="W84" s="8">
        <v>0.98335103464819129</v>
      </c>
    </row>
    <row r="85" spans="1:23">
      <c r="A85" s="7">
        <v>40777</v>
      </c>
      <c r="B85" s="8">
        <v>0.99992834173316958</v>
      </c>
      <c r="C85" s="9">
        <v>15737</v>
      </c>
      <c r="D85" s="8">
        <v>0.99903507299882532</v>
      </c>
      <c r="E85" s="9">
        <v>19155</v>
      </c>
      <c r="F85" s="9">
        <v>34572</v>
      </c>
      <c r="G85" s="9">
        <v>1648963</v>
      </c>
      <c r="H85" s="8">
        <v>0.97916205518256016</v>
      </c>
      <c r="I85" s="9">
        <v>419168</v>
      </c>
      <c r="J85" s="8">
        <v>0.98109349950377889</v>
      </c>
      <c r="K85" s="9">
        <v>108490</v>
      </c>
      <c r="L85" s="9">
        <v>49814</v>
      </c>
      <c r="M85" s="9">
        <v>157167</v>
      </c>
      <c r="N85" s="9">
        <v>64000</v>
      </c>
      <c r="O85" s="8">
        <v>9.3023255813953487E-2</v>
      </c>
      <c r="P85" s="9">
        <v>560000</v>
      </c>
      <c r="Q85" s="8">
        <v>0.81395348837209303</v>
      </c>
      <c r="R85" s="9">
        <v>2654836</v>
      </c>
      <c r="S85" s="8">
        <v>0.91</v>
      </c>
      <c r="T85" s="8">
        <v>0.31</v>
      </c>
      <c r="U85" s="9">
        <v>151659914</v>
      </c>
      <c r="V85" s="9">
        <v>13939030</v>
      </c>
      <c r="W85" s="8">
        <v>0.98470295914434935</v>
      </c>
    </row>
    <row r="86" spans="1:23">
      <c r="A86" s="7">
        <v>40778</v>
      </c>
      <c r="B86" s="8">
        <v>0.99987832661571163</v>
      </c>
      <c r="C86" s="9">
        <v>15686</v>
      </c>
      <c r="D86" s="8">
        <v>0.99910311230664628</v>
      </c>
      <c r="E86" s="9">
        <v>19273</v>
      </c>
      <c r="F86" s="9">
        <v>34535</v>
      </c>
      <c r="G86" s="9">
        <v>1671866</v>
      </c>
      <c r="H86" s="8">
        <v>0.97886852175951899</v>
      </c>
      <c r="I86" s="9">
        <v>431880</v>
      </c>
      <c r="J86" s="8">
        <v>0.98430582569232195</v>
      </c>
      <c r="K86" s="9">
        <v>108639</v>
      </c>
      <c r="L86" s="9">
        <v>49657</v>
      </c>
      <c r="M86" s="9">
        <v>157445</v>
      </c>
      <c r="N86" s="9">
        <v>72000</v>
      </c>
      <c r="O86" s="8">
        <v>0.10465116279069768</v>
      </c>
      <c r="P86" s="9">
        <v>592000</v>
      </c>
      <c r="Q86" s="8">
        <v>0.86046511627906974</v>
      </c>
      <c r="R86" s="9">
        <v>2826350</v>
      </c>
      <c r="S86" s="8">
        <v>0.9</v>
      </c>
      <c r="T86" s="8">
        <v>0.34</v>
      </c>
      <c r="U86" s="9">
        <v>152100939</v>
      </c>
      <c r="V86" s="9">
        <v>13966649</v>
      </c>
      <c r="W86" s="8">
        <v>0.98503114762040489</v>
      </c>
    </row>
    <row r="87" spans="1:23">
      <c r="A87" s="7">
        <v>40779</v>
      </c>
      <c r="B87" s="8">
        <v>0.99993064321739811</v>
      </c>
      <c r="C87" s="9">
        <v>15940</v>
      </c>
      <c r="D87" s="8">
        <v>0.99890238286700073</v>
      </c>
      <c r="E87" s="9">
        <v>19267</v>
      </c>
      <c r="F87" s="9">
        <v>34906</v>
      </c>
      <c r="G87" s="9">
        <v>1575824</v>
      </c>
      <c r="H87" s="8">
        <v>0.97552772390825371</v>
      </c>
      <c r="I87" s="9">
        <v>430786</v>
      </c>
      <c r="J87" s="8">
        <v>0.98577948215587319</v>
      </c>
      <c r="K87" s="9">
        <v>109059</v>
      </c>
      <c r="L87" s="9">
        <v>49822</v>
      </c>
      <c r="M87" s="9">
        <v>157744</v>
      </c>
      <c r="N87" s="9">
        <v>64000</v>
      </c>
      <c r="O87" s="8">
        <v>9.3023255813953487E-2</v>
      </c>
      <c r="P87" s="9">
        <v>568000</v>
      </c>
      <c r="Q87" s="8">
        <v>0.82558139534883723</v>
      </c>
      <c r="R87" s="9">
        <v>2907544</v>
      </c>
      <c r="S87" s="8">
        <v>0.88</v>
      </c>
      <c r="T87" s="8">
        <v>0.3</v>
      </c>
      <c r="U87" s="9">
        <v>152737671</v>
      </c>
      <c r="V87" s="9">
        <v>14024093</v>
      </c>
      <c r="W87" s="8">
        <v>0.98443797424162827</v>
      </c>
    </row>
    <row r="88" spans="1:23">
      <c r="A88" s="7">
        <v>40780</v>
      </c>
      <c r="B88" s="8">
        <v>0.99997663795939118</v>
      </c>
      <c r="C88" s="9">
        <v>15840</v>
      </c>
      <c r="D88" s="8">
        <v>0.99903896157045813</v>
      </c>
      <c r="E88" s="9">
        <v>19282</v>
      </c>
      <c r="F88" s="9">
        <v>34857</v>
      </c>
      <c r="G88" s="9">
        <v>1547242</v>
      </c>
      <c r="H88" s="8">
        <v>0.9764316118616222</v>
      </c>
      <c r="I88" s="9">
        <v>423333</v>
      </c>
      <c r="J88" s="8">
        <v>0.98176376516831898</v>
      </c>
      <c r="K88" s="9">
        <v>108941</v>
      </c>
      <c r="L88" s="9">
        <v>49942</v>
      </c>
      <c r="M88" s="9">
        <v>157956</v>
      </c>
      <c r="N88" s="9">
        <v>64000</v>
      </c>
      <c r="O88" s="8">
        <v>9.3023255813953487E-2</v>
      </c>
      <c r="P88" s="9">
        <v>576000</v>
      </c>
      <c r="Q88" s="8">
        <v>0.83720930232558144</v>
      </c>
      <c r="R88" s="9">
        <v>2873588</v>
      </c>
      <c r="S88" s="8">
        <v>0.91</v>
      </c>
      <c r="T88" s="8">
        <v>0.39</v>
      </c>
      <c r="U88" s="9">
        <v>151956739</v>
      </c>
      <c r="V88" s="9">
        <v>13934405</v>
      </c>
      <c r="W88" s="8">
        <v>0.98476519696129194</v>
      </c>
    </row>
    <row r="89" spans="1:23">
      <c r="A89" s="7">
        <v>40781</v>
      </c>
      <c r="B89" s="8">
        <v>0.99995389299678805</v>
      </c>
      <c r="C89" s="9">
        <v>15888</v>
      </c>
      <c r="D89" s="8">
        <v>0.99913561207570423</v>
      </c>
      <c r="E89" s="9">
        <v>19253</v>
      </c>
      <c r="F89" s="9">
        <v>34764</v>
      </c>
      <c r="G89" s="9">
        <v>1605430</v>
      </c>
      <c r="H89" s="8">
        <v>0.97691335031736048</v>
      </c>
      <c r="I89" s="9">
        <v>412112</v>
      </c>
      <c r="J89" s="8">
        <v>0.98160451527740034</v>
      </c>
      <c r="K89" s="9">
        <v>108659</v>
      </c>
      <c r="L89" s="9">
        <v>50036</v>
      </c>
      <c r="M89" s="9">
        <v>157568</v>
      </c>
      <c r="N89" s="9">
        <v>64000</v>
      </c>
      <c r="O89" s="8">
        <v>9.3023255813953487E-2</v>
      </c>
      <c r="P89" s="9">
        <v>576000</v>
      </c>
      <c r="Q89" s="8">
        <v>0.83720930232558144</v>
      </c>
      <c r="R89" s="9">
        <v>2795873</v>
      </c>
      <c r="S89" s="8">
        <v>0.91</v>
      </c>
      <c r="T89" s="8">
        <v>0.31</v>
      </c>
      <c r="U89" s="9">
        <v>152590064</v>
      </c>
      <c r="V89" s="9">
        <v>14016418</v>
      </c>
      <c r="W89" s="8">
        <v>0.98530094135954405</v>
      </c>
    </row>
    <row r="90" spans="1:23">
      <c r="A90" s="7">
        <v>40782</v>
      </c>
      <c r="B90" s="8">
        <v>0.99961470851174639</v>
      </c>
      <c r="C90" s="9">
        <v>16628</v>
      </c>
      <c r="D90" s="8">
        <v>0.99895319906289159</v>
      </c>
      <c r="E90" s="9">
        <v>19315</v>
      </c>
      <c r="F90" s="9">
        <v>35557</v>
      </c>
      <c r="G90" s="9">
        <v>1580930</v>
      </c>
      <c r="H90" s="8">
        <v>0.97715015845103836</v>
      </c>
      <c r="I90" s="9">
        <v>429880</v>
      </c>
      <c r="J90" s="8">
        <v>0.9847748208802457</v>
      </c>
      <c r="K90" s="9">
        <v>109257</v>
      </c>
      <c r="L90" s="9">
        <v>49486</v>
      </c>
      <c r="M90" s="9">
        <v>157249</v>
      </c>
      <c r="N90" s="9">
        <v>72000</v>
      </c>
      <c r="O90" s="8">
        <v>0.10465116279069768</v>
      </c>
      <c r="P90" s="9">
        <v>560000</v>
      </c>
      <c r="Q90" s="8">
        <v>0.81395348837209303</v>
      </c>
      <c r="R90" s="9">
        <v>2962039</v>
      </c>
      <c r="S90" s="8">
        <v>0.93</v>
      </c>
      <c r="T90" s="8">
        <v>0.3</v>
      </c>
      <c r="U90" s="9">
        <v>152047221</v>
      </c>
      <c r="V90" s="9">
        <v>13959340</v>
      </c>
      <c r="W90" s="8">
        <v>0.98480956322858348</v>
      </c>
    </row>
    <row r="91" spans="1:23">
      <c r="A91" s="7">
        <v>40783</v>
      </c>
      <c r="B91" s="8">
        <v>0.99992644304444067</v>
      </c>
      <c r="C91" s="9">
        <v>16440</v>
      </c>
      <c r="D91" s="8">
        <v>0.99891378003775944</v>
      </c>
      <c r="E91" s="9">
        <v>19446</v>
      </c>
      <c r="F91" s="9">
        <v>35590</v>
      </c>
      <c r="G91" s="9">
        <v>1738582</v>
      </c>
      <c r="H91" s="8">
        <v>0.97799125954369714</v>
      </c>
      <c r="I91" s="9">
        <v>403581</v>
      </c>
      <c r="J91" s="8">
        <v>0.98180043163578068</v>
      </c>
      <c r="K91" s="9">
        <v>109792</v>
      </c>
      <c r="L91" s="9">
        <v>49890</v>
      </c>
      <c r="M91" s="9">
        <v>157051</v>
      </c>
      <c r="N91" s="9">
        <v>72000</v>
      </c>
      <c r="O91" s="8">
        <v>0.10465116279069768</v>
      </c>
      <c r="P91" s="9">
        <v>520000</v>
      </c>
      <c r="Q91" s="8">
        <v>0.7558139534883721</v>
      </c>
      <c r="R91" s="9">
        <v>3042912</v>
      </c>
      <c r="S91" s="8">
        <v>0.91</v>
      </c>
      <c r="T91" s="8">
        <v>0.33</v>
      </c>
      <c r="U91" s="9">
        <v>150657694</v>
      </c>
      <c r="V91" s="9">
        <v>13852760</v>
      </c>
      <c r="W91" s="8">
        <v>0.98464024572975895</v>
      </c>
    </row>
    <row r="92" spans="1:23">
      <c r="A92" s="7">
        <v>40784</v>
      </c>
      <c r="B92" s="8">
        <v>0.99998685134581877</v>
      </c>
      <c r="C92" s="9">
        <v>16190</v>
      </c>
      <c r="D92" s="8">
        <v>0.99905465476705002</v>
      </c>
      <c r="E92" s="9">
        <v>19427</v>
      </c>
      <c r="F92" s="9">
        <v>35336</v>
      </c>
      <c r="G92" s="9">
        <v>1674465</v>
      </c>
      <c r="H92" s="8">
        <v>0.97696816595151292</v>
      </c>
      <c r="I92" s="9">
        <v>410174</v>
      </c>
      <c r="J92" s="8">
        <v>0.98191743016378419</v>
      </c>
      <c r="K92" s="9">
        <v>108273</v>
      </c>
      <c r="L92" s="9">
        <v>50360</v>
      </c>
      <c r="M92" s="9">
        <v>157465</v>
      </c>
      <c r="N92" s="9">
        <v>70760</v>
      </c>
      <c r="O92" s="8">
        <v>0.10284883720930232</v>
      </c>
      <c r="P92" s="9">
        <v>564536</v>
      </c>
      <c r="Q92" s="8">
        <v>0.82054651162790693</v>
      </c>
      <c r="R92" s="9">
        <v>2727791</v>
      </c>
      <c r="S92" s="8">
        <v>0.93</v>
      </c>
      <c r="T92" s="8">
        <v>0.3</v>
      </c>
      <c r="U92" s="9">
        <v>152021061</v>
      </c>
      <c r="V92" s="9">
        <v>13945446</v>
      </c>
      <c r="W92" s="8">
        <v>0.98472551181637513</v>
      </c>
    </row>
    <row r="93" spans="1:23">
      <c r="A93" s="7">
        <v>40785</v>
      </c>
      <c r="B93" s="8">
        <v>0.99999431367643177</v>
      </c>
      <c r="C93" s="9">
        <v>15679</v>
      </c>
      <c r="D93" s="8">
        <v>0.99907705857754525</v>
      </c>
      <c r="E93" s="9">
        <v>19682</v>
      </c>
      <c r="F93" s="9">
        <v>35047</v>
      </c>
      <c r="G93" s="9">
        <v>1622814</v>
      </c>
      <c r="H93" s="8">
        <v>0.97531633323350675</v>
      </c>
      <c r="I93" s="9">
        <v>414612</v>
      </c>
      <c r="J93" s="8">
        <v>0.9792311848185774</v>
      </c>
      <c r="K93" s="9">
        <v>108285</v>
      </c>
      <c r="L93" s="9">
        <v>50336</v>
      </c>
      <c r="M93" s="9">
        <v>157647</v>
      </c>
      <c r="N93" s="9">
        <v>69704</v>
      </c>
      <c r="O93" s="8">
        <v>0.10131395348837209</v>
      </c>
      <c r="P93" s="9">
        <v>513056</v>
      </c>
      <c r="Q93" s="8">
        <v>0.74572093023255814</v>
      </c>
      <c r="R93" s="9">
        <v>2776861</v>
      </c>
      <c r="S93" s="8">
        <v>0.88</v>
      </c>
      <c r="T93" s="8">
        <v>0.28999999999999998</v>
      </c>
      <c r="U93" s="9">
        <v>153155857</v>
      </c>
      <c r="V93" s="9">
        <v>14043934</v>
      </c>
      <c r="W93" s="8">
        <v>0.98374032499427755</v>
      </c>
    </row>
    <row r="94" spans="1:23">
      <c r="A94" s="7">
        <v>40786</v>
      </c>
      <c r="B94" s="8">
        <v>0.99995492740577796</v>
      </c>
      <c r="C94" s="9">
        <v>15816</v>
      </c>
      <c r="D94" s="8">
        <v>0.99876042203581927</v>
      </c>
      <c r="E94" s="9">
        <v>19686</v>
      </c>
      <c r="F94" s="9">
        <v>35200</v>
      </c>
      <c r="G94" s="9">
        <v>1639465</v>
      </c>
      <c r="H94" s="8">
        <v>0.97085207674454777</v>
      </c>
      <c r="I94" s="9">
        <v>424991</v>
      </c>
      <c r="J94" s="8">
        <v>0.97502064749606465</v>
      </c>
      <c r="K94" s="9">
        <v>108110</v>
      </c>
      <c r="L94" s="9">
        <v>50425</v>
      </c>
      <c r="M94" s="9">
        <v>157542</v>
      </c>
      <c r="N94" s="9">
        <v>70664</v>
      </c>
      <c r="O94" s="8">
        <v>0.1027093023255814</v>
      </c>
      <c r="P94" s="9">
        <v>526688</v>
      </c>
      <c r="Q94" s="8">
        <v>0.76553488372093026</v>
      </c>
      <c r="R94" s="9">
        <v>2848705</v>
      </c>
      <c r="S94" s="8">
        <v>0.91</v>
      </c>
      <c r="T94" s="8">
        <v>0.28999999999999998</v>
      </c>
      <c r="U94" s="9">
        <v>154615766</v>
      </c>
      <c r="V94" s="9">
        <v>14159294</v>
      </c>
      <c r="W94" s="8">
        <v>0.98371746333019783</v>
      </c>
    </row>
    <row r="95" spans="1:23">
      <c r="A95" s="7">
        <v>40787</v>
      </c>
      <c r="B95" s="8">
        <v>0.99981679452296257</v>
      </c>
      <c r="C95" s="9">
        <v>15977</v>
      </c>
      <c r="D95" s="8">
        <v>0.99849643720991044</v>
      </c>
      <c r="E95" s="9">
        <v>19621</v>
      </c>
      <c r="F95" s="9">
        <v>35339</v>
      </c>
      <c r="G95" s="9">
        <v>1705524</v>
      </c>
      <c r="H95" s="8">
        <v>0.9762395603931695</v>
      </c>
      <c r="I95" s="9">
        <v>411121</v>
      </c>
      <c r="J95" s="8">
        <v>0.97727919517611606</v>
      </c>
      <c r="K95" s="9">
        <v>108357</v>
      </c>
      <c r="L95" s="9">
        <v>50446</v>
      </c>
      <c r="M95" s="9">
        <v>157993</v>
      </c>
      <c r="N95" s="9">
        <v>71856</v>
      </c>
      <c r="O95" s="8">
        <v>0.10444186046511628</v>
      </c>
      <c r="P95" s="9">
        <v>539936</v>
      </c>
      <c r="Q95" s="8">
        <v>0.78479069767441856</v>
      </c>
      <c r="R95" s="9">
        <v>539784</v>
      </c>
      <c r="S95" s="8">
        <v>0.93</v>
      </c>
      <c r="T95" s="8">
        <v>0.3</v>
      </c>
      <c r="U95" s="9">
        <v>153823678</v>
      </c>
      <c r="V95" s="9">
        <v>14100708</v>
      </c>
      <c r="W95" s="8">
        <v>0.98384563240298262</v>
      </c>
    </row>
    <row r="96" spans="1:23">
      <c r="A96" s="7">
        <v>40788</v>
      </c>
      <c r="B96" s="8">
        <v>0.99984737941128843</v>
      </c>
      <c r="C96" s="9">
        <v>16347</v>
      </c>
      <c r="D96" s="8">
        <v>0.99649721618602793</v>
      </c>
      <c r="E96" s="9">
        <v>19622</v>
      </c>
      <c r="F96" s="9">
        <v>35807</v>
      </c>
      <c r="G96" s="9">
        <v>1647843</v>
      </c>
      <c r="H96" s="8">
        <v>0.97721566921120517</v>
      </c>
      <c r="I96" s="9">
        <v>429460</v>
      </c>
      <c r="J96" s="8">
        <v>0.97940203977087503</v>
      </c>
      <c r="K96" s="9">
        <v>107852</v>
      </c>
      <c r="L96" s="9">
        <v>50596</v>
      </c>
      <c r="M96" s="9">
        <v>157470</v>
      </c>
      <c r="N96" s="9">
        <v>68104</v>
      </c>
      <c r="O96" s="8">
        <v>9.8988372093023261E-2</v>
      </c>
      <c r="P96" s="9">
        <v>509880</v>
      </c>
      <c r="Q96" s="8">
        <v>0.74110465116279067</v>
      </c>
      <c r="R96" s="9">
        <v>509768</v>
      </c>
      <c r="S96" s="8">
        <v>0.9</v>
      </c>
      <c r="T96" s="8">
        <v>0.28000000000000003</v>
      </c>
      <c r="U96" s="9">
        <v>155981767</v>
      </c>
      <c r="V96" s="9">
        <v>14279400</v>
      </c>
      <c r="W96" s="8">
        <v>0.98253458577783237</v>
      </c>
    </row>
    <row r="97" spans="1:23">
      <c r="A97" s="7">
        <v>40789</v>
      </c>
      <c r="B97" s="8">
        <v>0.99958537936241243</v>
      </c>
      <c r="C97" s="9">
        <v>16374</v>
      </c>
      <c r="D97" s="8">
        <v>0.99796562228024366</v>
      </c>
      <c r="E97" s="9">
        <v>19550</v>
      </c>
      <c r="F97" s="9">
        <v>35741</v>
      </c>
      <c r="G97" s="9">
        <v>1587846</v>
      </c>
      <c r="H97" s="8">
        <v>0.97620487125325761</v>
      </c>
      <c r="I97" s="9">
        <v>416626</v>
      </c>
      <c r="J97" s="8">
        <v>0.98149899430184384</v>
      </c>
      <c r="K97" s="9">
        <v>108800</v>
      </c>
      <c r="L97" s="9">
        <v>50025</v>
      </c>
      <c r="M97" s="9">
        <v>157412</v>
      </c>
      <c r="N97" s="9">
        <v>73208</v>
      </c>
      <c r="O97" s="8">
        <v>0.10640697674418605</v>
      </c>
      <c r="P97" s="9">
        <v>531624</v>
      </c>
      <c r="Q97" s="8">
        <v>0.77270930232558144</v>
      </c>
      <c r="R97" s="9">
        <v>531512</v>
      </c>
      <c r="S97" s="8">
        <v>0.93</v>
      </c>
      <c r="T97" s="8">
        <v>0.28999999999999998</v>
      </c>
      <c r="U97" s="9">
        <v>153679083</v>
      </c>
      <c r="V97" s="9">
        <v>14072340</v>
      </c>
      <c r="W97" s="8">
        <v>0.98269159962796127</v>
      </c>
    </row>
    <row r="98" spans="1:23">
      <c r="A98" s="7">
        <v>40790</v>
      </c>
      <c r="B98" s="8">
        <v>0.99985291689300893</v>
      </c>
      <c r="C98" s="9">
        <v>16211</v>
      </c>
      <c r="D98" s="8">
        <v>0.99806020969764531</v>
      </c>
      <c r="E98" s="9">
        <v>19926</v>
      </c>
      <c r="F98" s="9">
        <v>35874</v>
      </c>
      <c r="G98" s="9">
        <v>1583322</v>
      </c>
      <c r="H98" s="8">
        <v>0.97810047482445139</v>
      </c>
      <c r="I98" s="9">
        <v>411361</v>
      </c>
      <c r="J98" s="8">
        <v>0.9742999457897078</v>
      </c>
      <c r="K98" s="9">
        <v>109064</v>
      </c>
      <c r="L98" s="9">
        <v>50495</v>
      </c>
      <c r="M98" s="9">
        <v>156655</v>
      </c>
      <c r="N98" s="9">
        <v>75776</v>
      </c>
      <c r="O98" s="8">
        <v>0.11013953488372093</v>
      </c>
      <c r="P98" s="9">
        <v>536512</v>
      </c>
      <c r="Q98" s="8">
        <v>0.77981395348837212</v>
      </c>
      <c r="R98" s="9">
        <v>536344</v>
      </c>
      <c r="S98" s="8">
        <v>0.92</v>
      </c>
      <c r="T98" s="8">
        <v>0.32</v>
      </c>
      <c r="U98" s="9">
        <v>152428617</v>
      </c>
      <c r="V98" s="9">
        <v>13926983</v>
      </c>
      <c r="W98" s="8">
        <v>0.98245895899676294</v>
      </c>
    </row>
    <row r="99" spans="1:23">
      <c r="A99" s="7">
        <v>40791</v>
      </c>
      <c r="B99" s="8">
        <v>0.9999045581527396</v>
      </c>
      <c r="C99" s="9">
        <v>15842</v>
      </c>
      <c r="D99" s="8">
        <v>0.99821953922516304</v>
      </c>
      <c r="E99" s="9">
        <v>19712</v>
      </c>
      <c r="F99" s="9">
        <v>35352</v>
      </c>
      <c r="G99" s="9">
        <v>1510665</v>
      </c>
      <c r="H99" s="8">
        <v>0.97801365623748482</v>
      </c>
      <c r="I99" s="9">
        <v>441538</v>
      </c>
      <c r="J99" s="8">
        <v>0.98169806449275032</v>
      </c>
      <c r="K99" s="9">
        <v>107328</v>
      </c>
      <c r="L99" s="9">
        <v>50720</v>
      </c>
      <c r="M99" s="9">
        <v>157169</v>
      </c>
      <c r="N99" s="9">
        <v>72104</v>
      </c>
      <c r="O99" s="8">
        <v>0.1076179104477612</v>
      </c>
      <c r="P99" s="9">
        <v>521504</v>
      </c>
      <c r="Q99" s="8">
        <v>0.77836417910447764</v>
      </c>
      <c r="R99" s="9">
        <v>521320</v>
      </c>
      <c r="S99" s="8">
        <v>0.92</v>
      </c>
      <c r="T99" s="8">
        <v>0.33</v>
      </c>
      <c r="U99" s="9">
        <v>156393164</v>
      </c>
      <c r="V99" s="9">
        <v>14266832</v>
      </c>
      <c r="W99" s="8">
        <v>0.98221856069337121</v>
      </c>
    </row>
    <row r="100" spans="1:23">
      <c r="A100" s="7">
        <v>40792</v>
      </c>
      <c r="B100" s="8">
        <v>0.99987485795411857</v>
      </c>
      <c r="C100" s="9">
        <v>16003</v>
      </c>
      <c r="D100" s="8">
        <v>0.99874712009758426</v>
      </c>
      <c r="E100" s="9">
        <v>19952</v>
      </c>
      <c r="F100" s="9">
        <v>35674</v>
      </c>
      <c r="G100" s="9">
        <v>1520765</v>
      </c>
      <c r="H100" s="8">
        <v>0.97744884975653701</v>
      </c>
      <c r="I100" s="9">
        <v>463828</v>
      </c>
      <c r="J100" s="8">
        <v>0.98233181265469094</v>
      </c>
      <c r="K100" s="9">
        <v>106736</v>
      </c>
      <c r="L100" s="9">
        <v>50622</v>
      </c>
      <c r="M100" s="9">
        <v>157106</v>
      </c>
      <c r="N100" s="9">
        <v>73056</v>
      </c>
      <c r="O100" s="8">
        <v>0.10903880597014926</v>
      </c>
      <c r="P100" s="9">
        <v>543016</v>
      </c>
      <c r="Q100" s="8">
        <v>0.81047164179104481</v>
      </c>
      <c r="R100" s="9">
        <v>542880</v>
      </c>
      <c r="S100" s="8">
        <v>0.91</v>
      </c>
      <c r="T100" s="8">
        <v>0.9</v>
      </c>
      <c r="U100" s="9">
        <v>157811094</v>
      </c>
      <c r="V100" s="9">
        <v>14392901</v>
      </c>
      <c r="W100" s="8">
        <v>0.98145518934449882</v>
      </c>
    </row>
    <row r="101" spans="1:23">
      <c r="A101" s="7">
        <v>40793</v>
      </c>
      <c r="B101" s="8">
        <v>0.999900183987393</v>
      </c>
      <c r="C101" s="9">
        <v>16077</v>
      </c>
      <c r="D101" s="8">
        <v>0.99883142158004101</v>
      </c>
      <c r="E101" s="9">
        <v>19644</v>
      </c>
      <c r="F101" s="9">
        <v>35446</v>
      </c>
      <c r="G101" s="9">
        <v>1576458</v>
      </c>
      <c r="H101" s="8">
        <v>0.97534916883291534</v>
      </c>
      <c r="I101" s="9">
        <v>429637</v>
      </c>
      <c r="J101" s="8">
        <v>0.97746004184928204</v>
      </c>
      <c r="K101" s="9">
        <v>108579</v>
      </c>
      <c r="L101" s="9">
        <v>50342</v>
      </c>
      <c r="M101" s="9">
        <v>158055</v>
      </c>
      <c r="N101" s="9">
        <v>69384</v>
      </c>
      <c r="O101" s="8">
        <v>0.10355820895522388</v>
      </c>
      <c r="P101" s="9">
        <v>529136</v>
      </c>
      <c r="Q101" s="8">
        <v>0.78975522388059705</v>
      </c>
      <c r="R101" s="9">
        <v>519496</v>
      </c>
      <c r="S101" s="8">
        <v>0.91</v>
      </c>
      <c r="T101" s="8">
        <v>0.91</v>
      </c>
      <c r="U101" s="9">
        <v>157058132</v>
      </c>
      <c r="V101" s="9">
        <v>14344282</v>
      </c>
      <c r="W101" s="8">
        <v>0.98447562885697681</v>
      </c>
    </row>
    <row r="102" spans="1:23">
      <c r="A102" s="7">
        <v>40794</v>
      </c>
      <c r="B102" s="8">
        <v>0.99995932256643749</v>
      </c>
      <c r="C102" s="9">
        <v>16234</v>
      </c>
      <c r="D102" s="8">
        <v>0.99905961916329244</v>
      </c>
      <c r="E102" s="9">
        <v>19748</v>
      </c>
      <c r="F102" s="9">
        <v>35590</v>
      </c>
      <c r="G102" s="9">
        <v>1618917</v>
      </c>
      <c r="H102" s="8">
        <v>0.97562691601854823</v>
      </c>
      <c r="I102" s="9">
        <v>445657</v>
      </c>
      <c r="J102" s="8">
        <v>0.97934510172621547</v>
      </c>
      <c r="K102" s="9">
        <v>108275</v>
      </c>
      <c r="L102" s="9">
        <v>50768</v>
      </c>
      <c r="M102" s="9">
        <v>158078</v>
      </c>
      <c r="N102" s="9">
        <v>72192</v>
      </c>
      <c r="O102" s="8">
        <v>0.10774925373134328</v>
      </c>
      <c r="P102" s="9">
        <v>555280</v>
      </c>
      <c r="Q102" s="8">
        <v>0.82877611940298512</v>
      </c>
      <c r="R102" s="9">
        <v>555144</v>
      </c>
      <c r="S102" s="8">
        <v>0.91</v>
      </c>
      <c r="T102" s="8">
        <v>0.31</v>
      </c>
      <c r="U102" s="9">
        <v>154467358</v>
      </c>
      <c r="V102" s="9">
        <v>14140295</v>
      </c>
      <c r="W102" s="8">
        <v>0.98402262873513013</v>
      </c>
    </row>
    <row r="103" spans="1:23">
      <c r="A103" s="7">
        <v>40795</v>
      </c>
      <c r="B103" s="8">
        <v>0.99975271177078529</v>
      </c>
      <c r="C103" s="9">
        <v>16180</v>
      </c>
      <c r="D103" s="8">
        <v>0.99870862954024209</v>
      </c>
      <c r="E103" s="9">
        <v>19549</v>
      </c>
      <c r="F103" s="9">
        <v>35457</v>
      </c>
      <c r="G103" s="9">
        <v>1633362</v>
      </c>
      <c r="H103" s="8">
        <v>0.97760202576036426</v>
      </c>
      <c r="I103" s="9">
        <v>433213</v>
      </c>
      <c r="J103" s="8">
        <v>0.97719828352334759</v>
      </c>
      <c r="K103" s="9">
        <v>108602</v>
      </c>
      <c r="L103" s="9">
        <v>50129</v>
      </c>
      <c r="M103" s="9">
        <v>158439</v>
      </c>
      <c r="N103" s="9">
        <v>72376</v>
      </c>
      <c r="O103" s="8">
        <v>0.10802388059701493</v>
      </c>
      <c r="P103" s="9">
        <v>577912</v>
      </c>
      <c r="Q103" s="8">
        <v>0.86255522388059702</v>
      </c>
      <c r="R103" s="9">
        <v>577832</v>
      </c>
      <c r="S103" s="8">
        <v>0.93</v>
      </c>
      <c r="T103" s="8">
        <v>0.42</v>
      </c>
      <c r="U103" s="9">
        <v>153164773</v>
      </c>
      <c r="V103" s="9">
        <v>14060126</v>
      </c>
      <c r="W103" s="8">
        <v>0.98279503066066254</v>
      </c>
    </row>
    <row r="104" spans="1:23">
      <c r="A104" s="7">
        <v>40796</v>
      </c>
      <c r="B104" s="8">
        <v>0.99992317349060433</v>
      </c>
      <c r="C104" s="9">
        <v>17020</v>
      </c>
      <c r="D104" s="8">
        <v>0.99763063207423486</v>
      </c>
      <c r="E104" s="9">
        <v>19514</v>
      </c>
      <c r="F104" s="9">
        <v>36333</v>
      </c>
      <c r="G104" s="9">
        <v>1653542</v>
      </c>
      <c r="H104" s="8">
        <v>0.97954633145090964</v>
      </c>
      <c r="I104" s="9">
        <v>410702</v>
      </c>
      <c r="J104" s="8">
        <v>0.98738257909627902</v>
      </c>
      <c r="K104" s="9">
        <v>108889</v>
      </c>
      <c r="L104" s="9">
        <v>49787</v>
      </c>
      <c r="M104" s="9">
        <v>157503</v>
      </c>
      <c r="N104" s="9">
        <v>68416</v>
      </c>
      <c r="O104" s="8">
        <v>0.10211343283582089</v>
      </c>
      <c r="P104" s="9">
        <v>545808</v>
      </c>
      <c r="Q104" s="8">
        <v>0.81463880597014926</v>
      </c>
      <c r="R104" s="9">
        <v>545672</v>
      </c>
      <c r="S104" s="8">
        <v>0.91</v>
      </c>
      <c r="T104" s="8">
        <v>0.33</v>
      </c>
      <c r="U104" s="9">
        <v>153254926</v>
      </c>
      <c r="V104" s="9">
        <v>14063305</v>
      </c>
      <c r="W104" s="8">
        <v>0.98305901032237653</v>
      </c>
    </row>
    <row r="105" spans="1:23">
      <c r="A105" s="7">
        <v>40797</v>
      </c>
      <c r="B105" s="8">
        <v>0.99993166376092457</v>
      </c>
      <c r="C105" s="9">
        <v>16625</v>
      </c>
      <c r="D105" s="8">
        <v>0.99663306778771954</v>
      </c>
      <c r="E105" s="9">
        <v>19703</v>
      </c>
      <c r="F105" s="9">
        <v>36065</v>
      </c>
      <c r="G105" s="9">
        <v>1623369</v>
      </c>
      <c r="H105" s="8">
        <v>0.98110041524754998</v>
      </c>
      <c r="I105" s="9">
        <v>395355</v>
      </c>
      <c r="J105" s="8">
        <v>0.9830658522087744</v>
      </c>
      <c r="K105" s="9">
        <v>109436</v>
      </c>
      <c r="L105" s="9">
        <v>50040</v>
      </c>
      <c r="M105" s="9">
        <v>156916</v>
      </c>
      <c r="N105" s="9">
        <v>68512</v>
      </c>
      <c r="O105" s="8">
        <v>0.10225671641791045</v>
      </c>
      <c r="P105" s="9">
        <v>508448</v>
      </c>
      <c r="Q105" s="8">
        <v>0.75887761194029846</v>
      </c>
      <c r="R105" s="9">
        <v>508352</v>
      </c>
      <c r="S105" s="8">
        <v>0.8</v>
      </c>
      <c r="T105" s="8">
        <v>0.33</v>
      </c>
      <c r="U105" s="9">
        <v>153166466</v>
      </c>
      <c r="V105" s="9">
        <v>14002716</v>
      </c>
      <c r="W105" s="8">
        <v>0.98295686208858302</v>
      </c>
    </row>
    <row r="106" spans="1:23">
      <c r="A106" s="7">
        <v>40798</v>
      </c>
      <c r="B106" s="8">
        <v>0.99999615366629491</v>
      </c>
      <c r="C106" s="9">
        <v>16240</v>
      </c>
      <c r="D106" s="8">
        <v>0.99418726013275471</v>
      </c>
      <c r="E106" s="9">
        <v>19631</v>
      </c>
      <c r="F106" s="9">
        <v>35603</v>
      </c>
      <c r="G106" s="9">
        <v>1575184</v>
      </c>
      <c r="H106" s="8">
        <v>0.98003852248372259</v>
      </c>
      <c r="I106" s="9">
        <v>419679</v>
      </c>
      <c r="J106" s="8">
        <v>0.98610843049092278</v>
      </c>
      <c r="K106" s="9">
        <v>107913</v>
      </c>
      <c r="L106" s="9">
        <v>50281</v>
      </c>
      <c r="M106" s="9">
        <v>157404</v>
      </c>
      <c r="N106" s="9">
        <v>68864</v>
      </c>
      <c r="O106" s="8">
        <v>0.1027820895522388</v>
      </c>
      <c r="P106" s="9">
        <v>554024</v>
      </c>
      <c r="Q106" s="8">
        <v>0.82690149253731349</v>
      </c>
      <c r="R106" s="9">
        <v>553896</v>
      </c>
      <c r="S106" s="8">
        <v>0.89</v>
      </c>
      <c r="T106" s="8">
        <v>0.31</v>
      </c>
      <c r="U106" s="9">
        <v>154615666</v>
      </c>
      <c r="V106" s="9">
        <v>14141116</v>
      </c>
      <c r="W106" s="8">
        <v>0.9832706972557167</v>
      </c>
    </row>
    <row r="107" spans="1:23">
      <c r="A107" s="7">
        <v>40799</v>
      </c>
      <c r="B107" s="8">
        <v>0.99994085011439382</v>
      </c>
      <c r="C107" s="9">
        <v>16266</v>
      </c>
      <c r="D107" s="8">
        <v>0.99909964612491298</v>
      </c>
      <c r="E107" s="9">
        <v>19696</v>
      </c>
      <c r="F107" s="9">
        <v>35733</v>
      </c>
      <c r="G107" s="9">
        <v>1580209</v>
      </c>
      <c r="H107" s="8">
        <v>0.98032159037190647</v>
      </c>
      <c r="I107" s="9">
        <v>420313</v>
      </c>
      <c r="J107" s="8">
        <v>0.98693116796292291</v>
      </c>
      <c r="K107" s="9">
        <v>108476</v>
      </c>
      <c r="L107" s="9">
        <v>50444</v>
      </c>
      <c r="M107" s="9">
        <v>157300</v>
      </c>
      <c r="N107" s="9">
        <v>65336</v>
      </c>
      <c r="O107" s="8">
        <v>9.7516417910447767E-2</v>
      </c>
      <c r="P107" s="9">
        <v>561432</v>
      </c>
      <c r="Q107" s="8">
        <v>0.83795820895522388</v>
      </c>
      <c r="R107" s="9">
        <v>561312</v>
      </c>
      <c r="S107" s="8">
        <v>0.91</v>
      </c>
      <c r="T107" s="8">
        <v>0.31</v>
      </c>
      <c r="U107" s="9">
        <v>153921308</v>
      </c>
      <c r="V107" s="9">
        <v>14051484</v>
      </c>
      <c r="W107" s="8">
        <v>0.98262975560896348</v>
      </c>
    </row>
    <row r="108" spans="1:23">
      <c r="A108" s="7">
        <v>40800</v>
      </c>
      <c r="B108" s="8">
        <v>0.99985915808150316</v>
      </c>
      <c r="C108" s="9">
        <v>16297</v>
      </c>
      <c r="D108" s="8">
        <v>0.99887620962457402</v>
      </c>
      <c r="E108" s="9">
        <v>20119</v>
      </c>
      <c r="F108" s="9">
        <v>36182</v>
      </c>
      <c r="G108" s="9">
        <v>1625936</v>
      </c>
      <c r="H108" s="8">
        <v>0.98097526593912676</v>
      </c>
      <c r="I108" s="9">
        <v>393121</v>
      </c>
      <c r="J108" s="8">
        <v>0.98306882613749969</v>
      </c>
      <c r="K108" s="9">
        <v>108342</v>
      </c>
      <c r="L108" s="9">
        <v>50682</v>
      </c>
      <c r="M108" s="9">
        <v>157788</v>
      </c>
      <c r="N108" s="9">
        <v>69168</v>
      </c>
      <c r="O108" s="8">
        <v>0.10323582089552238</v>
      </c>
      <c r="P108" s="9">
        <v>566664</v>
      </c>
      <c r="Q108" s="8">
        <v>0.84576716417910447</v>
      </c>
      <c r="R108" s="9">
        <v>566584</v>
      </c>
      <c r="S108" s="8">
        <v>0.91</v>
      </c>
      <c r="T108" s="8">
        <v>0.31</v>
      </c>
      <c r="U108" s="9">
        <v>152070539</v>
      </c>
      <c r="V108" s="9">
        <v>13929386</v>
      </c>
      <c r="W108" s="8">
        <v>0.98328898050974511</v>
      </c>
    </row>
    <row r="109" spans="1:23">
      <c r="A109" s="7">
        <v>40801</v>
      </c>
      <c r="B109" s="8">
        <v>0.99994222953027334</v>
      </c>
      <c r="C109" s="9">
        <v>16310</v>
      </c>
      <c r="D109" s="8">
        <v>0.99922942849279883</v>
      </c>
      <c r="E109" s="9">
        <v>20188</v>
      </c>
      <c r="F109" s="9">
        <v>36247</v>
      </c>
      <c r="G109" s="9">
        <v>1612920</v>
      </c>
      <c r="H109" s="8">
        <v>0.97728033628450262</v>
      </c>
      <c r="I109" s="9">
        <v>396737</v>
      </c>
      <c r="J109" s="8">
        <v>0.97879955738940405</v>
      </c>
      <c r="K109" s="9">
        <v>108234</v>
      </c>
      <c r="L109" s="9">
        <v>50672</v>
      </c>
      <c r="M109" s="9">
        <v>157668</v>
      </c>
      <c r="N109" s="9">
        <v>66264</v>
      </c>
      <c r="O109" s="8">
        <v>9.8901492537313437E-2</v>
      </c>
      <c r="P109" s="9">
        <v>571936</v>
      </c>
      <c r="Q109" s="8">
        <v>0.85363582089552237</v>
      </c>
      <c r="R109" s="9">
        <v>571808</v>
      </c>
      <c r="S109" s="8">
        <v>0.92</v>
      </c>
      <c r="T109" s="8">
        <v>0.33</v>
      </c>
      <c r="U109" s="9">
        <v>152449040</v>
      </c>
      <c r="V109" s="9">
        <v>13974715</v>
      </c>
      <c r="W109" s="8">
        <v>0.98388425685906766</v>
      </c>
    </row>
    <row r="110" spans="1:23">
      <c r="A110" s="7">
        <v>40802</v>
      </c>
      <c r="B110" s="8">
        <v>0.99991763232357456</v>
      </c>
      <c r="C110" s="9">
        <v>16378</v>
      </c>
      <c r="D110" s="8">
        <v>0.99845845663691468</v>
      </c>
      <c r="E110" s="9">
        <v>19943</v>
      </c>
      <c r="F110" s="9">
        <v>36086</v>
      </c>
      <c r="G110" s="9">
        <v>1546457</v>
      </c>
      <c r="H110" s="8">
        <v>0.97689492821332891</v>
      </c>
      <c r="I110" s="9">
        <v>425081</v>
      </c>
      <c r="J110" s="8">
        <v>0.98222221176669855</v>
      </c>
      <c r="K110" s="9">
        <v>108464</v>
      </c>
      <c r="L110" s="9">
        <v>50151</v>
      </c>
      <c r="M110" s="9">
        <v>157501</v>
      </c>
      <c r="N110" s="9">
        <v>67168</v>
      </c>
      <c r="O110" s="8">
        <v>0.10025074626865671</v>
      </c>
      <c r="P110" s="9">
        <v>559440</v>
      </c>
      <c r="Q110" s="8">
        <v>0.83498507462686566</v>
      </c>
      <c r="R110" s="9">
        <v>559280</v>
      </c>
      <c r="S110" s="8">
        <v>0.92</v>
      </c>
      <c r="T110" s="8">
        <v>0.3</v>
      </c>
      <c r="U110" s="9">
        <v>151820421</v>
      </c>
      <c r="V110" s="9">
        <v>13940725</v>
      </c>
      <c r="W110" s="8">
        <v>0.98496958954692027</v>
      </c>
    </row>
    <row r="111" spans="1:23">
      <c r="A111" s="7">
        <v>40803</v>
      </c>
      <c r="B111" s="8">
        <v>0.99996134939792902</v>
      </c>
      <c r="C111" s="9">
        <v>16817</v>
      </c>
      <c r="D111" s="8">
        <v>0.99724102251273117</v>
      </c>
      <c r="E111" s="9">
        <v>19909</v>
      </c>
      <c r="F111" s="9">
        <v>36477</v>
      </c>
      <c r="G111" s="9">
        <v>1598138</v>
      </c>
      <c r="H111" s="8">
        <v>0.97912883618310809</v>
      </c>
      <c r="I111" s="9">
        <v>408852</v>
      </c>
      <c r="J111" s="8">
        <v>0.98266120747850083</v>
      </c>
      <c r="K111" s="9">
        <v>109689</v>
      </c>
      <c r="L111" s="9">
        <v>49679</v>
      </c>
      <c r="M111" s="9">
        <v>156979</v>
      </c>
      <c r="N111" s="9">
        <v>70608</v>
      </c>
      <c r="O111" s="8">
        <v>0.10538507462686567</v>
      </c>
      <c r="P111" s="9">
        <v>567176</v>
      </c>
      <c r="Q111" s="8">
        <v>0.84653134328358204</v>
      </c>
      <c r="R111" s="9">
        <v>567112</v>
      </c>
      <c r="S111" s="8">
        <v>0.91</v>
      </c>
      <c r="T111" s="8">
        <v>0.32</v>
      </c>
      <c r="U111" s="9">
        <v>149578132</v>
      </c>
      <c r="V111" s="9">
        <v>13744349</v>
      </c>
      <c r="W111" s="8">
        <v>0.98524640730489133</v>
      </c>
    </row>
    <row r="112" spans="1:23">
      <c r="A112" s="7">
        <v>40804</v>
      </c>
      <c r="B112" s="8">
        <v>0.99999695710815728</v>
      </c>
      <c r="C112" s="9">
        <v>16956</v>
      </c>
      <c r="D112" s="8">
        <v>0.99805231684860585</v>
      </c>
      <c r="E112" s="9">
        <v>19470</v>
      </c>
      <c r="F112" s="9">
        <v>35244</v>
      </c>
      <c r="G112" s="9">
        <v>1608523</v>
      </c>
      <c r="H112" s="8">
        <v>0.97765900767349923</v>
      </c>
      <c r="I112" s="9">
        <v>409410</v>
      </c>
      <c r="J112" s="8">
        <v>0.97662001416672772</v>
      </c>
      <c r="K112" s="9">
        <v>111863</v>
      </c>
      <c r="L112" s="9">
        <v>49866</v>
      </c>
      <c r="M112" s="9">
        <v>156067</v>
      </c>
      <c r="N112" s="9">
        <v>72016</v>
      </c>
      <c r="O112" s="8">
        <v>0.10748656716417911</v>
      </c>
      <c r="P112" s="9">
        <v>495376</v>
      </c>
      <c r="Q112" s="8">
        <v>0.73936716417910453</v>
      </c>
      <c r="R112" s="9">
        <v>495296</v>
      </c>
      <c r="S112" s="8">
        <v>0.8</v>
      </c>
      <c r="T112" s="8">
        <v>0.3</v>
      </c>
      <c r="U112" s="9">
        <v>144839407</v>
      </c>
      <c r="V112" s="9">
        <v>13320117</v>
      </c>
      <c r="W112" s="8">
        <v>0.98441927952589681</v>
      </c>
    </row>
    <row r="113" spans="1:23">
      <c r="A113" s="7">
        <v>40805</v>
      </c>
      <c r="B113" s="8">
        <v>0.99962456092133967</v>
      </c>
      <c r="C113" s="9">
        <v>17213</v>
      </c>
      <c r="D113" s="8">
        <v>0.99874024664272187</v>
      </c>
      <c r="E113" s="9">
        <v>20591</v>
      </c>
      <c r="F113" s="9">
        <v>37353</v>
      </c>
      <c r="G113" s="9">
        <v>1649986</v>
      </c>
      <c r="H113" s="8">
        <v>0.98105438470387019</v>
      </c>
      <c r="I113" s="9">
        <v>440348</v>
      </c>
      <c r="J113" s="8">
        <v>0.98344036988926942</v>
      </c>
      <c r="K113" s="9">
        <v>109036</v>
      </c>
      <c r="L113" s="9">
        <v>50197</v>
      </c>
      <c r="M113" s="9">
        <v>158088</v>
      </c>
      <c r="N113" s="9">
        <v>75272</v>
      </c>
      <c r="O113" s="8">
        <v>0.11234626865671642</v>
      </c>
      <c r="P113" s="9">
        <v>638992</v>
      </c>
      <c r="Q113" s="8">
        <v>0.95371940298507463</v>
      </c>
      <c r="R113" s="9">
        <v>638912</v>
      </c>
      <c r="S113" s="8">
        <v>0.93</v>
      </c>
      <c r="T113" s="8">
        <v>0.3</v>
      </c>
      <c r="U113" s="9">
        <v>154791065</v>
      </c>
      <c r="V113" s="9">
        <v>14217194</v>
      </c>
      <c r="W113" s="8">
        <v>0.98490747227479647</v>
      </c>
    </row>
    <row r="114" spans="1:23">
      <c r="A114" s="7">
        <v>40806</v>
      </c>
      <c r="B114" s="8">
        <v>0.99985850215333827</v>
      </c>
      <c r="C114" s="9">
        <v>17886</v>
      </c>
      <c r="D114" s="8">
        <v>0.99871178238342651</v>
      </c>
      <c r="E114" s="9">
        <v>20726</v>
      </c>
      <c r="F114" s="9">
        <v>38300</v>
      </c>
      <c r="G114" s="9">
        <v>1668007</v>
      </c>
      <c r="H114" s="8">
        <v>0.97871291907048352</v>
      </c>
      <c r="I114" s="9">
        <v>448167</v>
      </c>
      <c r="J114" s="8">
        <v>0.98501451467868006</v>
      </c>
      <c r="K114" s="9">
        <v>109412</v>
      </c>
      <c r="L114" s="9">
        <v>50644</v>
      </c>
      <c r="M114" s="9">
        <v>158740</v>
      </c>
      <c r="N114" s="9">
        <v>73824</v>
      </c>
      <c r="O114" s="8">
        <v>0.11018507462686568</v>
      </c>
      <c r="P114" s="9">
        <v>628592</v>
      </c>
      <c r="Q114" s="8">
        <v>0.93819701492537311</v>
      </c>
      <c r="R114" s="9">
        <v>628520</v>
      </c>
      <c r="S114" s="8">
        <v>0.92</v>
      </c>
      <c r="T114" s="8">
        <v>0.33</v>
      </c>
      <c r="U114" s="9">
        <v>157494457</v>
      </c>
      <c r="V114" s="9">
        <v>14454519</v>
      </c>
      <c r="W114" s="8">
        <v>0.98462066586738672</v>
      </c>
    </row>
    <row r="115" spans="1:23">
      <c r="A115" s="7">
        <v>40807</v>
      </c>
      <c r="B115" s="8">
        <v>0.99953413374792444</v>
      </c>
      <c r="C115" s="9">
        <v>18262</v>
      </c>
      <c r="D115" s="8">
        <v>0.99844909445532248</v>
      </c>
      <c r="E115" s="9">
        <v>21080</v>
      </c>
      <c r="F115" s="9">
        <v>39173</v>
      </c>
      <c r="G115" s="9">
        <v>1636863</v>
      </c>
      <c r="H115" s="8">
        <v>0.97822236802957852</v>
      </c>
      <c r="I115" s="9">
        <v>453030</v>
      </c>
      <c r="J115" s="8">
        <v>0.9833145707789771</v>
      </c>
      <c r="K115" s="9">
        <v>110068</v>
      </c>
      <c r="L115" s="9">
        <v>50483</v>
      </c>
      <c r="M115" s="9">
        <v>159436</v>
      </c>
      <c r="N115" s="9">
        <v>76256</v>
      </c>
      <c r="O115" s="8">
        <v>0.11381492537313433</v>
      </c>
      <c r="P115" s="9">
        <v>641368</v>
      </c>
      <c r="Q115" s="8">
        <v>0.95726567164179099</v>
      </c>
      <c r="R115" s="9">
        <v>641256</v>
      </c>
      <c r="S115" s="8">
        <v>0.94</v>
      </c>
      <c r="T115" s="8">
        <v>0.31</v>
      </c>
      <c r="U115" s="9">
        <v>162127738</v>
      </c>
      <c r="V115" s="9">
        <v>14809091</v>
      </c>
      <c r="W115" s="8">
        <v>0.98294503072677952</v>
      </c>
    </row>
    <row r="116" spans="1:23">
      <c r="A116" s="7">
        <v>40808</v>
      </c>
      <c r="B116" s="8">
        <v>0.99951571214068125</v>
      </c>
      <c r="C116" s="9">
        <v>18011</v>
      </c>
      <c r="D116" s="8">
        <v>0.99885661111029123</v>
      </c>
      <c r="E116" s="9">
        <v>20962</v>
      </c>
      <c r="F116" s="9">
        <v>38647</v>
      </c>
      <c r="G116" s="9">
        <v>1673791</v>
      </c>
      <c r="H116" s="8">
        <v>0.97877572528469803</v>
      </c>
      <c r="I116" s="9">
        <v>444315</v>
      </c>
      <c r="J116" s="8">
        <v>0.98604593587882472</v>
      </c>
      <c r="K116" s="9">
        <v>109798</v>
      </c>
      <c r="L116" s="9">
        <v>50583</v>
      </c>
      <c r="M116" s="9">
        <v>158880</v>
      </c>
      <c r="N116" s="9">
        <v>74256</v>
      </c>
      <c r="O116" s="8">
        <v>0.11082985074626865</v>
      </c>
      <c r="P116" s="9">
        <v>614568</v>
      </c>
      <c r="Q116" s="8">
        <v>0.91726567164179107</v>
      </c>
      <c r="R116" s="9">
        <v>614416</v>
      </c>
      <c r="S116" s="8">
        <v>0.92</v>
      </c>
      <c r="T116" s="8">
        <v>0.28999999999999998</v>
      </c>
      <c r="U116" s="9">
        <v>161656662</v>
      </c>
      <c r="V116" s="9">
        <v>14771782</v>
      </c>
      <c r="W116" s="8">
        <v>0.98329591653108595</v>
      </c>
    </row>
    <row r="117" spans="1:23">
      <c r="A117" s="7">
        <v>40809</v>
      </c>
      <c r="B117" s="8">
        <v>0.9994528873479418</v>
      </c>
      <c r="C117" s="9">
        <v>18023</v>
      </c>
      <c r="D117" s="8">
        <v>0.99864473623199257</v>
      </c>
      <c r="E117" s="9">
        <v>20604</v>
      </c>
      <c r="F117" s="9">
        <v>38323</v>
      </c>
      <c r="G117" s="9">
        <v>1653121</v>
      </c>
      <c r="H117" s="8">
        <v>0.97744085278694059</v>
      </c>
      <c r="I117" s="9">
        <v>412105</v>
      </c>
      <c r="J117" s="8">
        <v>0.98585069339124742</v>
      </c>
      <c r="K117" s="9">
        <v>109903</v>
      </c>
      <c r="L117" s="9">
        <v>49289</v>
      </c>
      <c r="M117" s="9">
        <v>158436</v>
      </c>
      <c r="N117" s="9">
        <v>70568</v>
      </c>
      <c r="O117" s="8">
        <v>0.10532537313432835</v>
      </c>
      <c r="P117" s="9">
        <v>624816</v>
      </c>
      <c r="Q117" s="8">
        <v>0.93256119402985072</v>
      </c>
      <c r="R117" s="9">
        <v>624528</v>
      </c>
      <c r="S117" s="8">
        <v>0.92</v>
      </c>
      <c r="T117" s="8">
        <v>0.28999999999999998</v>
      </c>
      <c r="U117" s="9">
        <v>158953692</v>
      </c>
      <c r="V117" s="9">
        <v>14548833</v>
      </c>
      <c r="W117" s="8">
        <v>0.98355970923522118</v>
      </c>
    </row>
    <row r="118" spans="1:23">
      <c r="A118" s="7">
        <v>40810</v>
      </c>
      <c r="B118" s="8">
        <v>0.99962230632681437</v>
      </c>
      <c r="C118" s="9">
        <v>19245</v>
      </c>
      <c r="D118" s="8">
        <v>0.99651257591702014</v>
      </c>
      <c r="E118" s="9">
        <v>18897</v>
      </c>
      <c r="F118" s="9">
        <v>37944</v>
      </c>
      <c r="G118" s="9">
        <v>1714975</v>
      </c>
      <c r="H118" s="8">
        <v>0.9745751395792942</v>
      </c>
      <c r="I118" s="9">
        <v>353587</v>
      </c>
      <c r="J118" s="8">
        <v>0.98484389980400866</v>
      </c>
      <c r="K118" s="9">
        <v>113365</v>
      </c>
      <c r="L118" s="9">
        <v>46116</v>
      </c>
      <c r="M118" s="9">
        <v>156927</v>
      </c>
      <c r="N118" s="9">
        <v>66064</v>
      </c>
      <c r="O118" s="8">
        <v>9.8602985074626864E-2</v>
      </c>
      <c r="P118" s="9">
        <v>535432</v>
      </c>
      <c r="Q118" s="8">
        <v>0.79915223880597019</v>
      </c>
      <c r="R118" s="9">
        <v>535336</v>
      </c>
      <c r="S118" s="8">
        <v>0.93</v>
      </c>
      <c r="T118" s="8">
        <v>0.28999999999999998</v>
      </c>
      <c r="U118" s="9">
        <v>144641202</v>
      </c>
      <c r="V118" s="9">
        <v>13330152</v>
      </c>
      <c r="W118" s="8">
        <v>0.9835593722662187</v>
      </c>
    </row>
    <row r="119" spans="1:23">
      <c r="A119" s="7">
        <v>40811</v>
      </c>
      <c r="B119" s="8">
        <v>0.99985518691699093</v>
      </c>
      <c r="C119" s="9">
        <v>19882</v>
      </c>
      <c r="D119" s="8">
        <v>0.99870099103723298</v>
      </c>
      <c r="E119" s="9">
        <v>17605</v>
      </c>
      <c r="F119" s="9">
        <v>37314</v>
      </c>
      <c r="G119" s="9">
        <v>1781910</v>
      </c>
      <c r="H119" s="8">
        <v>0.97721489862002009</v>
      </c>
      <c r="I119" s="9">
        <v>302269</v>
      </c>
      <c r="J119" s="8">
        <v>0.98368009951400903</v>
      </c>
      <c r="K119" s="9">
        <v>116235</v>
      </c>
      <c r="L119" s="9">
        <v>41944</v>
      </c>
      <c r="M119" s="9">
        <v>154432</v>
      </c>
      <c r="N119" s="9">
        <v>67264</v>
      </c>
      <c r="O119" s="8">
        <v>0.10039402985074627</v>
      </c>
      <c r="P119" s="9">
        <v>512376</v>
      </c>
      <c r="Q119" s="8">
        <v>0.76474029850746272</v>
      </c>
      <c r="R119" s="9">
        <v>512344</v>
      </c>
      <c r="S119" s="8">
        <v>0.93</v>
      </c>
      <c r="T119" s="8">
        <v>0.3</v>
      </c>
      <c r="U119" s="9">
        <v>131010400</v>
      </c>
      <c r="V119" s="9">
        <v>12159043</v>
      </c>
      <c r="W119" s="8">
        <v>0.98226476442516508</v>
      </c>
    </row>
    <row r="120" spans="1:23">
      <c r="A120" s="7">
        <v>40812</v>
      </c>
      <c r="B120" s="8">
        <v>0.99999722137485181</v>
      </c>
      <c r="C120" s="9">
        <v>19928</v>
      </c>
      <c r="D120" s="8">
        <v>0.99798639635329889</v>
      </c>
      <c r="E120" s="9">
        <v>16254</v>
      </c>
      <c r="F120" s="9">
        <v>35453</v>
      </c>
      <c r="G120" s="9">
        <v>1801683</v>
      </c>
      <c r="H120" s="8">
        <v>0.97685441889610991</v>
      </c>
      <c r="I120" s="9">
        <v>286013</v>
      </c>
      <c r="J120" s="8">
        <v>0.98461958022887075</v>
      </c>
      <c r="K120" s="9">
        <v>117027</v>
      </c>
      <c r="L120" s="9">
        <v>38110</v>
      </c>
      <c r="M120" s="9">
        <v>151841</v>
      </c>
      <c r="N120" s="9">
        <v>60008</v>
      </c>
      <c r="O120" s="8">
        <v>8.9564179104477615E-2</v>
      </c>
      <c r="P120" s="9">
        <v>501912</v>
      </c>
      <c r="Q120" s="8">
        <v>0.74912238805970144</v>
      </c>
      <c r="R120" s="9">
        <v>501848</v>
      </c>
      <c r="S120" s="8">
        <v>0.84</v>
      </c>
      <c r="T120" s="8">
        <v>0.31</v>
      </c>
      <c r="U120" s="9">
        <v>120367224</v>
      </c>
      <c r="V120" s="9">
        <v>11227239</v>
      </c>
      <c r="W120" s="8">
        <v>0.98039452564109297</v>
      </c>
    </row>
    <row r="121" spans="1:23">
      <c r="A121" s="7">
        <v>40813</v>
      </c>
      <c r="B121" s="8">
        <v>0.99999408557962344</v>
      </c>
      <c r="C121" s="9">
        <v>21292</v>
      </c>
      <c r="D121" s="8">
        <v>0.99676899710038203</v>
      </c>
      <c r="E121" s="9">
        <v>16327</v>
      </c>
      <c r="F121" s="9">
        <v>34972</v>
      </c>
      <c r="G121" s="9">
        <v>1775625</v>
      </c>
      <c r="H121" s="8">
        <v>0.97908905315029915</v>
      </c>
      <c r="I121" s="9">
        <v>277276</v>
      </c>
      <c r="J121" s="8">
        <v>0.98645393037983808</v>
      </c>
      <c r="K121" s="9">
        <v>119785</v>
      </c>
      <c r="L121" s="9">
        <v>37729</v>
      </c>
      <c r="M121" s="9">
        <v>149364</v>
      </c>
      <c r="N121" s="9">
        <v>63888</v>
      </c>
      <c r="O121" s="8">
        <v>9.5355223880597015E-2</v>
      </c>
      <c r="P121" s="9">
        <v>507096</v>
      </c>
      <c r="Q121" s="8">
        <v>0.75685970149253734</v>
      </c>
      <c r="R121" s="9">
        <v>507016</v>
      </c>
      <c r="S121" s="8">
        <v>0.89</v>
      </c>
      <c r="T121" s="8">
        <v>0.3</v>
      </c>
      <c r="U121" s="9">
        <v>112090527</v>
      </c>
      <c r="V121" s="9">
        <v>10524371</v>
      </c>
      <c r="W121" s="8">
        <v>0.9800669733491929</v>
      </c>
    </row>
    <row r="122" spans="1:23">
      <c r="A122" s="7">
        <v>40814</v>
      </c>
      <c r="B122" s="8">
        <v>0.99964460439025637</v>
      </c>
      <c r="C122" s="9">
        <v>18664</v>
      </c>
      <c r="D122" s="8">
        <v>0.99664672325031312</v>
      </c>
      <c r="E122" s="9">
        <v>18116</v>
      </c>
      <c r="F122" s="9">
        <v>35753</v>
      </c>
      <c r="G122" s="9">
        <v>1723607</v>
      </c>
      <c r="H122" s="8">
        <v>0.96787028597586344</v>
      </c>
      <c r="I122" s="9">
        <v>323364</v>
      </c>
      <c r="J122" s="8">
        <v>0.98299439640776343</v>
      </c>
      <c r="K122" s="9">
        <v>111413</v>
      </c>
      <c r="L122" s="9">
        <v>42483</v>
      </c>
      <c r="M122" s="9">
        <v>149095</v>
      </c>
      <c r="N122" s="9">
        <v>67992</v>
      </c>
      <c r="O122" s="8">
        <v>0.10148059701492537</v>
      </c>
      <c r="P122" s="9">
        <v>543520</v>
      </c>
      <c r="Q122" s="8">
        <v>0.81122388059701489</v>
      </c>
      <c r="R122" s="9">
        <v>543232</v>
      </c>
      <c r="S122" s="8">
        <v>0.92</v>
      </c>
      <c r="T122" s="8">
        <v>0.31</v>
      </c>
      <c r="U122" s="9">
        <v>126758352</v>
      </c>
      <c r="V122" s="9">
        <v>11742895</v>
      </c>
      <c r="W122" s="8">
        <v>0.98201649900652266</v>
      </c>
    </row>
    <row r="123" spans="1:23">
      <c r="A123" s="7">
        <v>40815</v>
      </c>
      <c r="B123" s="8">
        <v>0.99975938886870397</v>
      </c>
      <c r="C123" s="9">
        <v>17726</v>
      </c>
      <c r="D123" s="8">
        <v>0.99885527753327352</v>
      </c>
      <c r="E123" s="9">
        <v>19731</v>
      </c>
      <c r="F123" s="9">
        <v>37198</v>
      </c>
      <c r="G123" s="9">
        <v>1683404</v>
      </c>
      <c r="H123" s="8">
        <v>0.97270411618363739</v>
      </c>
      <c r="I123" s="9">
        <v>369998</v>
      </c>
      <c r="J123" s="8">
        <v>0.98559992216174142</v>
      </c>
      <c r="K123" s="9">
        <v>108395</v>
      </c>
      <c r="L123" s="9">
        <v>46655</v>
      </c>
      <c r="M123" s="9">
        <v>152834</v>
      </c>
      <c r="N123" s="9">
        <v>68080</v>
      </c>
      <c r="O123" s="8">
        <v>0.10161194029850747</v>
      </c>
      <c r="P123" s="9">
        <v>564784</v>
      </c>
      <c r="Q123" s="8">
        <v>0.8429611940298507</v>
      </c>
      <c r="R123" s="9">
        <v>564720</v>
      </c>
      <c r="S123" s="8">
        <v>0.94</v>
      </c>
      <c r="T123" s="8">
        <v>0.33</v>
      </c>
      <c r="U123" s="9">
        <v>145240226</v>
      </c>
      <c r="V123" s="9">
        <v>13325777</v>
      </c>
      <c r="W123" s="8">
        <v>0.98339398256726462</v>
      </c>
    </row>
    <row r="124" spans="1:23">
      <c r="A124" s="7">
        <v>40816</v>
      </c>
      <c r="B124" s="8">
        <v>0.99955452294206848</v>
      </c>
      <c r="C124" s="9">
        <v>17898</v>
      </c>
      <c r="D124" s="8">
        <v>0.99889789164031006</v>
      </c>
      <c r="E124" s="9">
        <v>20472</v>
      </c>
      <c r="F124" s="9">
        <v>38100</v>
      </c>
      <c r="G124" s="9">
        <v>1676842</v>
      </c>
      <c r="H124" s="8">
        <v>0.97627564195076222</v>
      </c>
      <c r="I124" s="9">
        <v>419687</v>
      </c>
      <c r="J124" s="8">
        <v>0.9861277571142304</v>
      </c>
      <c r="K124" s="9">
        <v>107686</v>
      </c>
      <c r="L124" s="9">
        <v>48761</v>
      </c>
      <c r="M124" s="9">
        <v>155175</v>
      </c>
      <c r="N124" s="9">
        <v>71448</v>
      </c>
      <c r="O124" s="8">
        <v>0.10663880597014926</v>
      </c>
      <c r="P124" s="9">
        <v>596112</v>
      </c>
      <c r="Q124" s="8">
        <v>0.88971940298507468</v>
      </c>
      <c r="R124" s="9">
        <v>596040</v>
      </c>
      <c r="S124" s="8">
        <v>0.95</v>
      </c>
      <c r="T124" s="8">
        <v>0.32</v>
      </c>
      <c r="U124" s="9">
        <v>154440233</v>
      </c>
      <c r="V124" s="9">
        <v>14117891</v>
      </c>
      <c r="W124" s="8">
        <v>0.98416241681544858</v>
      </c>
    </row>
    <row r="125" spans="1:23">
      <c r="A125" s="7">
        <v>40817</v>
      </c>
      <c r="B125" s="8">
        <v>0.99936389408018822</v>
      </c>
      <c r="C125" s="9">
        <v>18460</v>
      </c>
      <c r="D125" s="8">
        <v>0.99866579105194642</v>
      </c>
      <c r="E125" s="9">
        <v>21298</v>
      </c>
      <c r="F125" s="9">
        <v>39481</v>
      </c>
      <c r="G125" s="9">
        <v>1774568</v>
      </c>
      <c r="H125" s="8">
        <v>0.97921296901555754</v>
      </c>
      <c r="I125" s="9">
        <v>435906</v>
      </c>
      <c r="J125" s="8">
        <v>0.98642826664464356</v>
      </c>
      <c r="K125" s="9">
        <v>108104</v>
      </c>
      <c r="L125" s="9">
        <v>50107</v>
      </c>
      <c r="M125" s="9">
        <v>156385</v>
      </c>
      <c r="N125" s="9">
        <v>76168</v>
      </c>
      <c r="O125" s="8">
        <v>0.11368358208955223</v>
      </c>
      <c r="P125" s="9">
        <v>597328</v>
      </c>
      <c r="Q125" s="8">
        <v>0.89153432835820901</v>
      </c>
      <c r="R125" s="9">
        <v>597224</v>
      </c>
      <c r="S125" s="8">
        <v>0.93</v>
      </c>
      <c r="T125" s="8">
        <v>0.34</v>
      </c>
      <c r="U125" s="9">
        <v>160657143</v>
      </c>
      <c r="V125" s="9">
        <v>14641974</v>
      </c>
      <c r="W125" s="8">
        <v>0.98368184696763739</v>
      </c>
    </row>
    <row r="126" spans="1:23">
      <c r="A126" s="7">
        <v>40818</v>
      </c>
      <c r="B126" s="8">
        <v>0.99966712205531238</v>
      </c>
      <c r="C126" s="9">
        <v>18304</v>
      </c>
      <c r="D126" s="8">
        <v>0.9982591761841173</v>
      </c>
      <c r="E126" s="9">
        <v>21560</v>
      </c>
      <c r="F126" s="9">
        <v>39389</v>
      </c>
      <c r="G126" s="9">
        <v>1757328</v>
      </c>
      <c r="H126" s="8">
        <v>0.9781964436917866</v>
      </c>
      <c r="I126" s="9">
        <v>441963</v>
      </c>
      <c r="J126" s="8">
        <v>0.98429054015833906</v>
      </c>
      <c r="K126" s="9">
        <v>108194</v>
      </c>
      <c r="L126" s="9">
        <v>51089</v>
      </c>
      <c r="M126" s="9">
        <v>156977</v>
      </c>
      <c r="N126" s="9">
        <v>74416</v>
      </c>
      <c r="O126" s="8">
        <v>0.11106865671641791</v>
      </c>
      <c r="P126" s="9">
        <v>593824</v>
      </c>
      <c r="Q126" s="8">
        <v>0.88630447761194031</v>
      </c>
      <c r="R126" s="9">
        <v>593720</v>
      </c>
      <c r="S126" s="8">
        <v>0.91</v>
      </c>
      <c r="T126" s="8">
        <v>0.33</v>
      </c>
      <c r="U126" s="9">
        <v>161332413</v>
      </c>
      <c r="V126" s="9">
        <v>14656473</v>
      </c>
      <c r="W126" s="8">
        <v>0.98270624528796735</v>
      </c>
    </row>
    <row r="127" spans="1:23">
      <c r="A127" s="7">
        <v>40819</v>
      </c>
      <c r="B127" s="8">
        <v>0.99980555742742461</v>
      </c>
      <c r="C127" s="9">
        <v>17425</v>
      </c>
      <c r="D127" s="8">
        <v>0.99889112034723604</v>
      </c>
      <c r="E127" s="9">
        <v>21314</v>
      </c>
      <c r="F127" s="9">
        <v>38381</v>
      </c>
      <c r="G127" s="9">
        <v>1658415</v>
      </c>
      <c r="H127" s="8">
        <v>0.97920062228091276</v>
      </c>
      <c r="I127" s="9">
        <v>469168</v>
      </c>
      <c r="J127" s="8">
        <v>0.98619044777137399</v>
      </c>
      <c r="K127" s="9">
        <v>106858</v>
      </c>
      <c r="L127" s="9">
        <v>51609</v>
      </c>
      <c r="M127" s="9">
        <v>157784</v>
      </c>
      <c r="N127" s="9">
        <v>73544</v>
      </c>
      <c r="O127" s="8">
        <v>0.10976716417910448</v>
      </c>
      <c r="P127" s="9">
        <v>584144</v>
      </c>
      <c r="Q127" s="8">
        <v>0.8718567164179104</v>
      </c>
      <c r="R127" s="9">
        <v>584080</v>
      </c>
      <c r="S127" s="8">
        <v>0.93</v>
      </c>
      <c r="T127" s="8">
        <v>0.31</v>
      </c>
      <c r="U127" s="9">
        <v>162173992</v>
      </c>
      <c r="V127" s="9">
        <v>14786267</v>
      </c>
      <c r="W127" s="8">
        <v>0.98366714581117132</v>
      </c>
    </row>
    <row r="128" spans="1:23">
      <c r="A128" s="7">
        <v>40820</v>
      </c>
      <c r="B128" s="8">
        <v>0.99956478090815426</v>
      </c>
      <c r="C128" s="9">
        <v>17671</v>
      </c>
      <c r="D128" s="8">
        <v>0.99902232749033848</v>
      </c>
      <c r="E128" s="9">
        <v>21305</v>
      </c>
      <c r="F128" s="9">
        <v>38642</v>
      </c>
      <c r="G128" s="9">
        <v>1620542</v>
      </c>
      <c r="H128" s="8">
        <v>0.97827702089794644</v>
      </c>
      <c r="I128" s="9">
        <v>453147</v>
      </c>
      <c r="J128" s="8">
        <v>0.98556318369094353</v>
      </c>
      <c r="K128" s="9">
        <v>107463</v>
      </c>
      <c r="L128" s="9">
        <v>52018</v>
      </c>
      <c r="M128" s="9">
        <v>158359</v>
      </c>
      <c r="N128" s="9">
        <v>70480</v>
      </c>
      <c r="O128" s="8">
        <v>0.10519402985074627</v>
      </c>
      <c r="P128" s="9">
        <v>586904</v>
      </c>
      <c r="Q128" s="8">
        <v>0.87597611940298503</v>
      </c>
      <c r="R128" s="9">
        <v>586816</v>
      </c>
      <c r="S128" s="8">
        <v>0.91</v>
      </c>
      <c r="T128" s="8">
        <v>0.31</v>
      </c>
      <c r="U128" s="9">
        <v>161575829</v>
      </c>
      <c r="V128" s="9">
        <v>14703998</v>
      </c>
      <c r="W128" s="8">
        <v>0.98359130904202974</v>
      </c>
    </row>
    <row r="129" spans="1:23">
      <c r="A129" s="7">
        <v>40821</v>
      </c>
      <c r="B129" s="8">
        <v>0.99970724331582961</v>
      </c>
      <c r="C129" s="9">
        <v>17412</v>
      </c>
      <c r="D129" s="8">
        <v>0.99887643690813654</v>
      </c>
      <c r="E129" s="9">
        <v>21359</v>
      </c>
      <c r="F129" s="9">
        <v>38405</v>
      </c>
      <c r="G129" s="9">
        <v>1610961</v>
      </c>
      <c r="H129" s="8">
        <v>0.97804850645049757</v>
      </c>
      <c r="I129" s="9">
        <v>441854</v>
      </c>
      <c r="J129" s="8">
        <v>0.98487962087024217</v>
      </c>
      <c r="K129" s="9">
        <v>107753</v>
      </c>
      <c r="L129" s="9">
        <v>52098</v>
      </c>
      <c r="M129" s="9">
        <v>158817</v>
      </c>
      <c r="N129" s="9">
        <v>71312</v>
      </c>
      <c r="O129" s="8">
        <v>0.10643582089552239</v>
      </c>
      <c r="P129" s="9">
        <v>622456</v>
      </c>
      <c r="Q129" s="8">
        <v>0.92903880597014921</v>
      </c>
      <c r="R129" s="9">
        <v>622400</v>
      </c>
      <c r="S129" s="8">
        <v>0.94</v>
      </c>
      <c r="T129" s="8">
        <v>0.34</v>
      </c>
      <c r="U129" s="9">
        <v>164720209</v>
      </c>
      <c r="V129" s="9">
        <v>14951545</v>
      </c>
      <c r="W129" s="8">
        <v>0.98453407369267965</v>
      </c>
    </row>
    <row r="130" spans="1:23">
      <c r="A130" s="7">
        <v>40822</v>
      </c>
      <c r="B130" s="8">
        <v>0.99935606383022724</v>
      </c>
      <c r="C130" s="9">
        <v>18421</v>
      </c>
      <c r="D130" s="8">
        <v>0.99858774250639648</v>
      </c>
      <c r="E130" s="9">
        <v>21849</v>
      </c>
      <c r="F130" s="9">
        <v>39874</v>
      </c>
      <c r="G130" s="9">
        <v>1648425</v>
      </c>
      <c r="H130" s="8">
        <v>0.9800367017001077</v>
      </c>
      <c r="I130" s="9">
        <v>448799</v>
      </c>
      <c r="J130" s="8">
        <v>0.98414657786670645</v>
      </c>
      <c r="K130" s="9">
        <v>108164</v>
      </c>
      <c r="L130" s="9">
        <v>51955</v>
      </c>
      <c r="M130" s="9">
        <v>159363</v>
      </c>
      <c r="N130" s="9">
        <v>74264</v>
      </c>
      <c r="O130" s="8">
        <v>0.11084179104477612</v>
      </c>
      <c r="P130" s="9">
        <v>658632</v>
      </c>
      <c r="Q130" s="8">
        <v>0.98303283582089551</v>
      </c>
      <c r="R130" s="9">
        <v>658528</v>
      </c>
      <c r="S130" s="8">
        <v>0.92</v>
      </c>
      <c r="T130" s="8">
        <v>0.33</v>
      </c>
      <c r="U130" s="9">
        <v>166465511</v>
      </c>
      <c r="V130" s="9">
        <v>15117055</v>
      </c>
      <c r="W130" s="8">
        <v>0.98499492867797256</v>
      </c>
    </row>
    <row r="131" spans="1:23">
      <c r="A131" s="7">
        <v>40823</v>
      </c>
      <c r="B131" s="8">
        <v>0.99908474525373814</v>
      </c>
      <c r="C131" s="9">
        <v>18997</v>
      </c>
      <c r="D131" s="8">
        <v>0.99844704220640434</v>
      </c>
      <c r="E131" s="9">
        <v>22288</v>
      </c>
      <c r="F131" s="9">
        <v>40873</v>
      </c>
      <c r="G131" s="9">
        <v>1661904</v>
      </c>
      <c r="H131" s="8">
        <v>0.97718279756231408</v>
      </c>
      <c r="I131" s="9">
        <v>433098</v>
      </c>
      <c r="J131" s="8">
        <v>0.98482329634401455</v>
      </c>
      <c r="K131" s="9">
        <v>108454</v>
      </c>
      <c r="L131" s="9">
        <v>52406</v>
      </c>
      <c r="M131" s="9">
        <v>160034</v>
      </c>
      <c r="N131" s="9">
        <v>79048</v>
      </c>
      <c r="O131" s="8">
        <v>0.11798208955223881</v>
      </c>
      <c r="P131" s="9">
        <v>674536</v>
      </c>
      <c r="Q131" s="8">
        <v>1.0067701492537313</v>
      </c>
      <c r="R131" s="9">
        <v>674296</v>
      </c>
      <c r="S131" s="8">
        <v>0.92</v>
      </c>
      <c r="T131" s="8">
        <v>0.31</v>
      </c>
      <c r="U131" s="9">
        <v>168862514</v>
      </c>
      <c r="V131" s="9">
        <v>15354111</v>
      </c>
      <c r="W131" s="8">
        <v>0.9843542977818015</v>
      </c>
    </row>
    <row r="132" spans="1:23">
      <c r="A132" s="7">
        <v>40824</v>
      </c>
      <c r="B132" s="8">
        <v>0.99906497477710365</v>
      </c>
      <c r="C132" s="9">
        <v>19753</v>
      </c>
      <c r="D132" s="8">
        <v>0.99790159580745541</v>
      </c>
      <c r="E132" s="9">
        <v>22423</v>
      </c>
      <c r="F132" s="9">
        <v>41865</v>
      </c>
      <c r="G132" s="9">
        <v>1672104</v>
      </c>
      <c r="H132" s="8">
        <v>0.97891458904470052</v>
      </c>
      <c r="I132" s="9">
        <v>432484</v>
      </c>
      <c r="J132" s="8">
        <v>0.98139121909712268</v>
      </c>
      <c r="K132" s="9">
        <v>109027</v>
      </c>
      <c r="L132" s="9">
        <v>51913</v>
      </c>
      <c r="M132" s="9">
        <v>160232</v>
      </c>
      <c r="N132" s="9">
        <v>82992</v>
      </c>
      <c r="O132" s="8">
        <v>0.1238686567164179</v>
      </c>
      <c r="P132" s="9">
        <v>658784</v>
      </c>
      <c r="Q132" s="8">
        <v>0.98325970149253727</v>
      </c>
      <c r="R132" s="9">
        <v>658672</v>
      </c>
      <c r="S132" s="8">
        <v>0.92</v>
      </c>
      <c r="T132" s="8">
        <v>0.31</v>
      </c>
      <c r="U132" s="9">
        <v>172431315</v>
      </c>
      <c r="V132" s="9">
        <v>15621241</v>
      </c>
      <c r="W132" s="8">
        <v>0.98344983244227269</v>
      </c>
    </row>
  </sheetData>
  <conditionalFormatting sqref="W3:W1048576">
    <cfRule type="cellIs" dxfId="4" priority="6" operator="lessThanOrEqual">
      <formula>0.9</formula>
    </cfRule>
  </conditionalFormatting>
  <conditionalFormatting sqref="B3:B1048576">
    <cfRule type="cellIs" dxfId="3" priority="5" stopIfTrue="1" operator="lessThanOrEqual">
      <formula>0.9</formula>
    </cfRule>
  </conditionalFormatting>
  <conditionalFormatting sqref="D3:D1048576">
    <cfRule type="cellIs" dxfId="2" priority="3" operator="lessThanOrEqual">
      <formula>0.95</formula>
    </cfRule>
  </conditionalFormatting>
  <conditionalFormatting sqref="H3:H1048576">
    <cfRule type="cellIs" dxfId="1" priority="2" operator="lessThanOrEqual">
      <formula>0.95</formula>
    </cfRule>
  </conditionalFormatting>
  <conditionalFormatting sqref="J3:J1048576">
    <cfRule type="cellIs" dxfId="0" priority="1" operator="lessThanOrEqual">
      <formula>0.95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26"/>
  <sheetViews>
    <sheetView topLeftCell="A106" workbookViewId="0">
      <selection activeCell="H124" sqref="H124"/>
    </sheetView>
  </sheetViews>
  <sheetFormatPr defaultRowHeight="15"/>
  <cols>
    <col min="1" max="1" width="9.7109375" bestFit="1" customWidth="1"/>
    <col min="2" max="3" width="12.85546875" bestFit="1" customWidth="1"/>
    <col min="4" max="4" width="11.28515625" bestFit="1" customWidth="1"/>
    <col min="5" max="5" width="9.140625" style="12"/>
  </cols>
  <sheetData>
    <row r="1" spans="1:5">
      <c r="A1" s="10" t="s">
        <v>31</v>
      </c>
      <c r="B1" s="10" t="s">
        <v>32</v>
      </c>
      <c r="C1" s="10" t="s">
        <v>33</v>
      </c>
      <c r="D1" s="10" t="s">
        <v>34</v>
      </c>
      <c r="E1" s="24" t="s">
        <v>35</v>
      </c>
    </row>
    <row r="2" spans="1:5">
      <c r="A2" s="11">
        <v>40695</v>
      </c>
      <c r="B2" s="9">
        <v>1049768</v>
      </c>
      <c r="C2" s="9">
        <v>111256</v>
      </c>
      <c r="D2" s="9"/>
      <c r="E2" s="24"/>
    </row>
    <row r="3" spans="1:5">
      <c r="A3" s="11">
        <v>40696</v>
      </c>
      <c r="B3" s="9">
        <v>1052966</v>
      </c>
      <c r="C3" s="9">
        <v>110664</v>
      </c>
      <c r="D3" s="9">
        <v>388160</v>
      </c>
      <c r="E3" s="24">
        <f>D3/C3</f>
        <v>3.5075543989011781</v>
      </c>
    </row>
    <row r="4" spans="1:5">
      <c r="A4" s="11">
        <v>40697</v>
      </c>
      <c r="B4" s="9">
        <v>1053479</v>
      </c>
      <c r="C4" s="9">
        <v>111603</v>
      </c>
      <c r="D4" s="9">
        <v>384320</v>
      </c>
      <c r="E4" s="24">
        <f t="shared" ref="E4:E67" si="0">D4/C4</f>
        <v>3.4436350277322294</v>
      </c>
    </row>
    <row r="5" spans="1:5">
      <c r="A5" s="11">
        <v>40698</v>
      </c>
      <c r="B5" s="9">
        <v>1040544</v>
      </c>
      <c r="C5" s="9">
        <v>110821</v>
      </c>
      <c r="D5" s="9">
        <v>380760</v>
      </c>
      <c r="E5" s="24">
        <f t="shared" si="0"/>
        <v>3.4358109022658159</v>
      </c>
    </row>
    <row r="6" spans="1:5">
      <c r="A6" s="11">
        <v>40699</v>
      </c>
      <c r="B6" s="9">
        <v>1046869</v>
      </c>
      <c r="C6" s="9">
        <v>110264</v>
      </c>
      <c r="D6" s="9">
        <v>381344</v>
      </c>
      <c r="E6" s="24">
        <f t="shared" si="0"/>
        <v>3.4584633243851122</v>
      </c>
    </row>
    <row r="7" spans="1:5">
      <c r="A7" s="11">
        <v>40700</v>
      </c>
      <c r="B7" s="9">
        <v>1055038</v>
      </c>
      <c r="C7" s="9">
        <v>111482</v>
      </c>
      <c r="D7" s="9">
        <v>402336</v>
      </c>
      <c r="E7" s="24">
        <f t="shared" si="0"/>
        <v>3.6089772339929316</v>
      </c>
    </row>
    <row r="8" spans="1:5">
      <c r="A8" s="11">
        <v>40701</v>
      </c>
      <c r="B8" s="9">
        <v>1055635</v>
      </c>
      <c r="C8" s="9">
        <v>110074</v>
      </c>
      <c r="D8" s="9">
        <v>403440</v>
      </c>
      <c r="E8" s="24">
        <f t="shared" si="0"/>
        <v>3.6651707033450225</v>
      </c>
    </row>
    <row r="9" spans="1:5">
      <c r="A9" s="11">
        <v>40702</v>
      </c>
      <c r="B9" s="9">
        <v>1069791</v>
      </c>
      <c r="C9" s="9">
        <v>111363</v>
      </c>
      <c r="D9" s="9">
        <v>397504</v>
      </c>
      <c r="E9" s="24">
        <f t="shared" si="0"/>
        <v>3.5694440702926467</v>
      </c>
    </row>
    <row r="10" spans="1:5">
      <c r="A10" s="11">
        <v>40703</v>
      </c>
      <c r="B10" s="9">
        <v>1069811</v>
      </c>
      <c r="C10" s="9">
        <v>111187</v>
      </c>
      <c r="D10" s="9">
        <v>412672</v>
      </c>
      <c r="E10" s="24">
        <f t="shared" si="0"/>
        <v>3.711513036596005</v>
      </c>
    </row>
    <row r="11" spans="1:5">
      <c r="A11" s="11">
        <v>40704</v>
      </c>
      <c r="B11" s="9">
        <v>1067428</v>
      </c>
      <c r="C11" s="9">
        <v>111419</v>
      </c>
      <c r="D11" s="9">
        <v>434000</v>
      </c>
      <c r="E11" s="24">
        <f t="shared" si="0"/>
        <v>3.8952063831123955</v>
      </c>
    </row>
    <row r="12" spans="1:5">
      <c r="A12" s="11">
        <v>40705</v>
      </c>
      <c r="B12" s="9">
        <v>1047687</v>
      </c>
      <c r="C12" s="9">
        <v>109762</v>
      </c>
      <c r="D12" s="9">
        <v>421528</v>
      </c>
      <c r="E12" s="24">
        <f t="shared" si="0"/>
        <v>3.8403819172391174</v>
      </c>
    </row>
    <row r="13" spans="1:5">
      <c r="A13" s="11">
        <v>40706</v>
      </c>
      <c r="B13" s="9">
        <v>1058935</v>
      </c>
      <c r="C13" s="9">
        <v>110880</v>
      </c>
      <c r="D13" s="9">
        <v>390344</v>
      </c>
      <c r="E13" s="24">
        <f t="shared" si="0"/>
        <v>3.5204184704184702</v>
      </c>
    </row>
    <row r="14" spans="1:5">
      <c r="A14" s="11">
        <v>40707</v>
      </c>
      <c r="B14" s="9">
        <v>1070029</v>
      </c>
      <c r="C14" s="9">
        <v>109597</v>
      </c>
      <c r="D14" s="9">
        <v>386376</v>
      </c>
      <c r="E14" s="24">
        <f t="shared" si="0"/>
        <v>3.5254249660118435</v>
      </c>
    </row>
    <row r="15" spans="1:5">
      <c r="A15" s="11">
        <v>40708</v>
      </c>
      <c r="B15" s="9">
        <v>1070128</v>
      </c>
      <c r="C15" s="9">
        <v>109410</v>
      </c>
      <c r="D15" s="9">
        <v>403416</v>
      </c>
      <c r="E15" s="24">
        <f t="shared" si="0"/>
        <v>3.6871949547573348</v>
      </c>
    </row>
    <row r="16" spans="1:5">
      <c r="A16" s="11">
        <v>40709</v>
      </c>
      <c r="B16" s="9">
        <v>1068442</v>
      </c>
      <c r="C16" s="9">
        <v>110592</v>
      </c>
      <c r="D16" s="9">
        <v>437728</v>
      </c>
      <c r="E16" s="24">
        <f t="shared" si="0"/>
        <v>3.9580439814814814</v>
      </c>
    </row>
    <row r="17" spans="1:5">
      <c r="A17" s="11">
        <v>40710</v>
      </c>
      <c r="B17" s="9">
        <v>1069138</v>
      </c>
      <c r="C17" s="9">
        <v>111645</v>
      </c>
      <c r="D17" s="9">
        <v>444272</v>
      </c>
      <c r="E17" s="24">
        <f t="shared" si="0"/>
        <v>3.9793273321689284</v>
      </c>
    </row>
    <row r="18" spans="1:5">
      <c r="A18" s="11">
        <v>40711</v>
      </c>
      <c r="B18" s="9">
        <v>1060100</v>
      </c>
      <c r="C18" s="9">
        <v>111209</v>
      </c>
      <c r="D18" s="9">
        <v>412360</v>
      </c>
      <c r="E18" s="24">
        <f t="shared" si="0"/>
        <v>3.7079732755442456</v>
      </c>
    </row>
    <row r="19" spans="1:5">
      <c r="A19" s="11">
        <v>40712</v>
      </c>
      <c r="B19" s="9">
        <v>1039965</v>
      </c>
      <c r="C19" s="9">
        <v>109359</v>
      </c>
      <c r="D19" s="9">
        <v>426592</v>
      </c>
      <c r="E19" s="24">
        <f t="shared" si="0"/>
        <v>3.9008403515028482</v>
      </c>
    </row>
    <row r="20" spans="1:5">
      <c r="A20" s="11">
        <v>40713</v>
      </c>
      <c r="B20" s="9">
        <v>1056587</v>
      </c>
      <c r="C20" s="9">
        <v>110776</v>
      </c>
      <c r="D20" s="9">
        <v>399000</v>
      </c>
      <c r="E20" s="24">
        <f t="shared" si="0"/>
        <v>3.6018632194699212</v>
      </c>
    </row>
    <row r="21" spans="1:5">
      <c r="A21" s="11">
        <v>40714</v>
      </c>
      <c r="B21" s="9">
        <v>1068089</v>
      </c>
      <c r="C21" s="9">
        <v>112669</v>
      </c>
      <c r="D21" s="9">
        <v>456792</v>
      </c>
      <c r="E21" s="24">
        <f t="shared" si="0"/>
        <v>4.0542828994665792</v>
      </c>
    </row>
    <row r="22" spans="1:5">
      <c r="A22" s="11">
        <v>40715</v>
      </c>
      <c r="B22" s="9">
        <v>1070051</v>
      </c>
      <c r="C22" s="9">
        <v>113549</v>
      </c>
      <c r="D22" s="9">
        <v>428096</v>
      </c>
      <c r="E22" s="24">
        <f t="shared" si="0"/>
        <v>3.7701432861583988</v>
      </c>
    </row>
    <row r="23" spans="1:5">
      <c r="A23" s="11">
        <v>40716</v>
      </c>
      <c r="B23" s="9">
        <v>1074700</v>
      </c>
      <c r="C23" s="9">
        <v>112815</v>
      </c>
      <c r="D23" s="9">
        <v>427960</v>
      </c>
      <c r="E23" s="24">
        <f t="shared" si="0"/>
        <v>3.7934671807826974</v>
      </c>
    </row>
    <row r="24" spans="1:5">
      <c r="A24" s="11">
        <v>40717</v>
      </c>
      <c r="B24" s="9">
        <v>1090459</v>
      </c>
      <c r="C24" s="9">
        <v>114496</v>
      </c>
      <c r="D24" s="9">
        <v>450128</v>
      </c>
      <c r="E24" s="24">
        <f t="shared" si="0"/>
        <v>3.9313862493012857</v>
      </c>
    </row>
    <row r="25" spans="1:5">
      <c r="A25" s="11">
        <v>40718</v>
      </c>
      <c r="B25" s="9">
        <v>1091597</v>
      </c>
      <c r="C25" s="9">
        <v>114953</v>
      </c>
      <c r="D25" s="9">
        <v>435280</v>
      </c>
      <c r="E25" s="24">
        <f t="shared" si="0"/>
        <v>3.7865910415561141</v>
      </c>
    </row>
    <row r="26" spans="1:5">
      <c r="A26" s="11">
        <v>40719</v>
      </c>
      <c r="B26" s="9">
        <v>1076691</v>
      </c>
      <c r="C26" s="9">
        <v>115054</v>
      </c>
      <c r="D26" s="9">
        <v>431720</v>
      </c>
      <c r="E26" s="24">
        <f t="shared" si="0"/>
        <v>3.7523249952196358</v>
      </c>
    </row>
    <row r="27" spans="1:5">
      <c r="A27" s="11">
        <v>40720</v>
      </c>
      <c r="B27" s="9">
        <v>1082719</v>
      </c>
      <c r="C27" s="9">
        <v>115843</v>
      </c>
      <c r="D27" s="9">
        <v>319864</v>
      </c>
      <c r="E27" s="24">
        <f t="shared" si="0"/>
        <v>2.7611853974776204</v>
      </c>
    </row>
    <row r="28" spans="1:5">
      <c r="A28" s="11">
        <v>40721</v>
      </c>
      <c r="B28" s="9">
        <v>1094353</v>
      </c>
      <c r="C28" s="9">
        <v>116111</v>
      </c>
      <c r="D28" s="9">
        <v>444512</v>
      </c>
      <c r="E28" s="24">
        <f t="shared" si="0"/>
        <v>3.8283366778341414</v>
      </c>
    </row>
    <row r="29" spans="1:5">
      <c r="A29" s="11">
        <v>40722</v>
      </c>
      <c r="B29" s="9">
        <v>1092712</v>
      </c>
      <c r="C29" s="9">
        <v>116574</v>
      </c>
      <c r="D29" s="9">
        <v>457024</v>
      </c>
      <c r="E29" s="24">
        <f t="shared" si="0"/>
        <v>3.9204625388165457</v>
      </c>
    </row>
    <row r="30" spans="1:5">
      <c r="A30" s="11">
        <v>40723</v>
      </c>
      <c r="B30" s="9">
        <v>1091364</v>
      </c>
      <c r="C30" s="9">
        <v>115950</v>
      </c>
      <c r="D30" s="9">
        <v>446024</v>
      </c>
      <c r="E30" s="24">
        <f t="shared" si="0"/>
        <v>3.8466925398878828</v>
      </c>
    </row>
    <row r="31" spans="1:5">
      <c r="A31" s="11">
        <v>40724</v>
      </c>
      <c r="B31" s="9">
        <v>1090766</v>
      </c>
      <c r="C31" s="9">
        <v>115339</v>
      </c>
      <c r="D31" s="9">
        <v>427400</v>
      </c>
      <c r="E31" s="24">
        <f t="shared" si="0"/>
        <v>3.705598279853302</v>
      </c>
    </row>
    <row r="32" spans="1:5">
      <c r="A32" s="11">
        <v>40725</v>
      </c>
      <c r="B32" s="9">
        <v>1094299</v>
      </c>
      <c r="C32" s="9">
        <v>115731</v>
      </c>
      <c r="D32" s="9">
        <v>438728</v>
      </c>
      <c r="E32" s="24">
        <f t="shared" si="0"/>
        <v>3.7909289645816591</v>
      </c>
    </row>
    <row r="33" spans="1:5">
      <c r="A33" s="11">
        <v>40726</v>
      </c>
      <c r="B33" s="9">
        <v>1084660</v>
      </c>
      <c r="C33" s="9">
        <v>115138</v>
      </c>
      <c r="D33" s="9">
        <v>452056</v>
      </c>
      <c r="E33" s="24">
        <f t="shared" si="0"/>
        <v>3.9262102867862914</v>
      </c>
    </row>
    <row r="34" spans="1:5">
      <c r="A34" s="11">
        <v>40727</v>
      </c>
      <c r="B34" s="9">
        <v>1091087</v>
      </c>
      <c r="C34" s="9">
        <v>115713</v>
      </c>
      <c r="D34" s="9">
        <v>463096</v>
      </c>
      <c r="E34" s="24">
        <f t="shared" si="0"/>
        <v>4.0021086654049238</v>
      </c>
    </row>
    <row r="35" spans="1:5">
      <c r="A35" s="11">
        <v>40728</v>
      </c>
      <c r="B35" s="9">
        <v>1099155</v>
      </c>
      <c r="C35" s="9">
        <v>115856</v>
      </c>
      <c r="D35" s="9">
        <v>476720</v>
      </c>
      <c r="E35" s="24">
        <f t="shared" si="0"/>
        <v>4.1147631542604612</v>
      </c>
    </row>
    <row r="36" spans="1:5">
      <c r="A36" s="11">
        <v>40729</v>
      </c>
      <c r="B36" s="9">
        <v>1134489</v>
      </c>
      <c r="C36" s="9">
        <v>115286</v>
      </c>
      <c r="D36" s="9">
        <v>486776</v>
      </c>
      <c r="E36" s="24">
        <f t="shared" si="0"/>
        <v>4.222334021477022</v>
      </c>
    </row>
    <row r="37" spans="1:5">
      <c r="A37" s="11">
        <v>40730</v>
      </c>
      <c r="B37" s="9">
        <v>1132649</v>
      </c>
      <c r="C37" s="9">
        <v>116248</v>
      </c>
      <c r="D37" s="9">
        <v>466832</v>
      </c>
      <c r="E37" s="24">
        <f t="shared" si="0"/>
        <v>4.01582822930287</v>
      </c>
    </row>
    <row r="38" spans="1:5">
      <c r="A38" s="11">
        <v>40731</v>
      </c>
      <c r="B38" s="9">
        <v>1154152</v>
      </c>
      <c r="C38" s="9">
        <v>116855</v>
      </c>
      <c r="D38" s="9">
        <v>445856</v>
      </c>
      <c r="E38" s="24">
        <f t="shared" si="0"/>
        <v>3.8154636087458815</v>
      </c>
    </row>
    <row r="39" spans="1:5">
      <c r="A39" s="11">
        <v>40732</v>
      </c>
      <c r="B39" s="9">
        <v>1151818</v>
      </c>
      <c r="C39" s="9">
        <v>116196</v>
      </c>
      <c r="D39" s="9">
        <v>426496</v>
      </c>
      <c r="E39" s="24">
        <f t="shared" si="0"/>
        <v>3.6704877964818068</v>
      </c>
    </row>
    <row r="40" spans="1:5">
      <c r="A40" s="11">
        <v>40733</v>
      </c>
      <c r="B40" s="9">
        <v>1173699</v>
      </c>
      <c r="C40" s="9">
        <v>114689</v>
      </c>
      <c r="D40" s="9">
        <v>446000</v>
      </c>
      <c r="E40" s="24">
        <f t="shared" si="0"/>
        <v>3.8887774764798717</v>
      </c>
    </row>
    <row r="41" spans="1:5">
      <c r="A41" s="11">
        <v>40734</v>
      </c>
      <c r="B41" s="9">
        <v>1184153</v>
      </c>
      <c r="C41" s="9">
        <v>115140</v>
      </c>
      <c r="D41" s="9">
        <v>455944</v>
      </c>
      <c r="E41" s="24">
        <f t="shared" si="0"/>
        <v>3.9599096751780443</v>
      </c>
    </row>
    <row r="42" spans="1:5">
      <c r="A42" s="11">
        <v>40735</v>
      </c>
      <c r="B42" s="9">
        <v>1215432</v>
      </c>
      <c r="C42" s="9">
        <v>116773</v>
      </c>
      <c r="D42" s="9">
        <v>478416</v>
      </c>
      <c r="E42" s="24">
        <f t="shared" si="0"/>
        <v>4.0969744718385241</v>
      </c>
    </row>
    <row r="43" spans="1:5">
      <c r="A43" s="11">
        <v>40736</v>
      </c>
      <c r="B43" s="9">
        <v>1216433</v>
      </c>
      <c r="C43" s="9">
        <v>116415</v>
      </c>
      <c r="D43" s="9">
        <v>454248</v>
      </c>
      <c r="E43" s="24">
        <f t="shared" si="0"/>
        <v>3.9019713954387321</v>
      </c>
    </row>
    <row r="44" spans="1:5">
      <c r="A44" s="11">
        <v>40737</v>
      </c>
      <c r="B44" s="9">
        <v>1217119</v>
      </c>
      <c r="C44" s="9">
        <v>114216</v>
      </c>
      <c r="D44" s="9">
        <v>498264</v>
      </c>
      <c r="E44" s="24">
        <f t="shared" si="0"/>
        <v>4.3624711073754989</v>
      </c>
    </row>
    <row r="45" spans="1:5">
      <c r="A45" s="11">
        <v>40738</v>
      </c>
      <c r="B45" s="9">
        <v>1232510</v>
      </c>
      <c r="C45" s="9">
        <v>113648</v>
      </c>
      <c r="D45" s="9">
        <v>468120</v>
      </c>
      <c r="E45" s="24">
        <f t="shared" si="0"/>
        <v>4.1190342108968041</v>
      </c>
    </row>
    <row r="46" spans="1:5">
      <c r="A46" s="11">
        <v>40739</v>
      </c>
      <c r="B46" s="9">
        <v>1231283</v>
      </c>
      <c r="C46" s="9">
        <v>112288</v>
      </c>
      <c r="D46" s="9">
        <v>500696</v>
      </c>
      <c r="E46" s="24">
        <f t="shared" si="0"/>
        <v>4.4590339127956682</v>
      </c>
    </row>
    <row r="47" spans="1:5">
      <c r="A47" s="11">
        <v>40740</v>
      </c>
      <c r="B47" s="9">
        <v>1224398</v>
      </c>
      <c r="C47" s="9">
        <v>111648</v>
      </c>
      <c r="D47" s="9">
        <v>483056</v>
      </c>
      <c r="E47" s="24">
        <f t="shared" si="0"/>
        <v>4.3265978790484381</v>
      </c>
    </row>
    <row r="48" spans="1:5">
      <c r="A48" s="11">
        <v>40741</v>
      </c>
      <c r="B48" s="9">
        <v>1232544</v>
      </c>
      <c r="C48" s="9">
        <v>112601</v>
      </c>
      <c r="D48" s="9">
        <v>483072</v>
      </c>
      <c r="E48" s="24">
        <f t="shared" si="0"/>
        <v>4.2901217573556183</v>
      </c>
    </row>
    <row r="49" spans="1:5">
      <c r="A49" s="11">
        <v>40742</v>
      </c>
      <c r="B49" s="9">
        <v>1525679</v>
      </c>
      <c r="C49" s="9">
        <v>112866</v>
      </c>
      <c r="D49" s="9">
        <v>495424</v>
      </c>
      <c r="E49" s="24">
        <f t="shared" si="0"/>
        <v>4.3894884198961597</v>
      </c>
    </row>
    <row r="50" spans="1:5">
      <c r="A50" s="11">
        <v>40743</v>
      </c>
      <c r="B50" s="9">
        <v>1588911</v>
      </c>
      <c r="C50" s="9">
        <v>112254</v>
      </c>
      <c r="D50" s="9">
        <v>502648</v>
      </c>
      <c r="E50" s="24">
        <f t="shared" si="0"/>
        <v>4.4777736205391347</v>
      </c>
    </row>
    <row r="51" spans="1:5">
      <c r="A51" s="11">
        <v>40744</v>
      </c>
      <c r="B51" s="9">
        <v>1589537</v>
      </c>
      <c r="C51" s="9">
        <v>112542</v>
      </c>
      <c r="D51" s="9">
        <v>501736</v>
      </c>
      <c r="E51" s="24">
        <f t="shared" si="0"/>
        <v>4.4582111567237117</v>
      </c>
    </row>
    <row r="52" spans="1:5">
      <c r="A52" s="11">
        <v>40745</v>
      </c>
      <c r="B52" s="9">
        <v>1615325</v>
      </c>
      <c r="C52" s="9">
        <v>116829</v>
      </c>
      <c r="D52" s="9">
        <v>497616</v>
      </c>
      <c r="E52" s="24">
        <f t="shared" si="0"/>
        <v>4.259353413963999</v>
      </c>
    </row>
    <row r="53" spans="1:5">
      <c r="A53" s="11">
        <v>40746</v>
      </c>
      <c r="B53" s="9">
        <v>1613833</v>
      </c>
      <c r="C53" s="9">
        <v>116573</v>
      </c>
      <c r="D53" s="9">
        <v>504752</v>
      </c>
      <c r="E53" s="24">
        <f t="shared" si="0"/>
        <v>4.3299220231099822</v>
      </c>
    </row>
    <row r="54" spans="1:5">
      <c r="A54" s="11">
        <v>40747</v>
      </c>
      <c r="B54" s="9">
        <v>1661489</v>
      </c>
      <c r="C54" s="9">
        <v>115416</v>
      </c>
      <c r="D54" s="9">
        <v>505056</v>
      </c>
      <c r="E54" s="24">
        <f t="shared" si="0"/>
        <v>4.3759617384071534</v>
      </c>
    </row>
    <row r="55" spans="1:5">
      <c r="A55" s="11">
        <v>40748</v>
      </c>
      <c r="B55" s="9">
        <v>1664043</v>
      </c>
      <c r="C55" s="9">
        <v>116257</v>
      </c>
      <c r="D55" s="9">
        <v>493864</v>
      </c>
      <c r="E55" s="24">
        <f t="shared" si="0"/>
        <v>4.2480366773613634</v>
      </c>
    </row>
    <row r="56" spans="1:5">
      <c r="A56" s="11">
        <v>40749</v>
      </c>
      <c r="B56" s="9">
        <v>1752419</v>
      </c>
      <c r="C56" s="9">
        <v>116095</v>
      </c>
      <c r="D56" s="9">
        <v>501200</v>
      </c>
      <c r="E56" s="24">
        <f t="shared" si="0"/>
        <v>4.3171540548688574</v>
      </c>
    </row>
    <row r="57" spans="1:5">
      <c r="A57" s="11">
        <v>40750</v>
      </c>
      <c r="B57" s="9">
        <v>1767272</v>
      </c>
      <c r="C57" s="9">
        <v>115888</v>
      </c>
      <c r="D57" s="9">
        <v>489552</v>
      </c>
      <c r="E57" s="24">
        <f t="shared" si="0"/>
        <v>4.2243545492199361</v>
      </c>
    </row>
    <row r="58" spans="1:5">
      <c r="A58" s="11">
        <v>40751</v>
      </c>
      <c r="B58" s="9">
        <v>1794462</v>
      </c>
      <c r="C58" s="9">
        <v>114944</v>
      </c>
      <c r="D58" s="9">
        <v>530136</v>
      </c>
      <c r="E58" s="24">
        <f t="shared" si="0"/>
        <v>4.6121241648106901</v>
      </c>
    </row>
    <row r="59" spans="1:5">
      <c r="A59" s="11">
        <v>40752</v>
      </c>
      <c r="B59" s="9">
        <v>1792653</v>
      </c>
      <c r="C59" s="9">
        <v>115342</v>
      </c>
      <c r="D59" s="9">
        <v>499712</v>
      </c>
      <c r="E59" s="24">
        <f t="shared" si="0"/>
        <v>4.3324374468970541</v>
      </c>
    </row>
    <row r="60" spans="1:5">
      <c r="A60" s="11">
        <v>40753</v>
      </c>
      <c r="B60" s="9">
        <v>1789055</v>
      </c>
      <c r="C60" s="9">
        <v>116579</v>
      </c>
      <c r="D60" s="9">
        <v>507904</v>
      </c>
      <c r="E60" s="24">
        <f t="shared" si="0"/>
        <v>4.3567366335274791</v>
      </c>
    </row>
    <row r="61" spans="1:5">
      <c r="A61" s="11">
        <v>40754</v>
      </c>
      <c r="B61" s="9">
        <v>1788024</v>
      </c>
      <c r="C61" s="9">
        <v>115145</v>
      </c>
      <c r="D61" s="9">
        <v>516096</v>
      </c>
      <c r="E61" s="24">
        <f t="shared" si="0"/>
        <v>4.4821399105475708</v>
      </c>
    </row>
    <row r="62" spans="1:5">
      <c r="A62" s="11">
        <v>40755</v>
      </c>
      <c r="B62" s="9">
        <v>1784697</v>
      </c>
      <c r="C62" s="9">
        <v>115846</v>
      </c>
      <c r="D62" s="9">
        <v>507904</v>
      </c>
      <c r="E62" s="24">
        <f t="shared" si="0"/>
        <v>4.384303299207569</v>
      </c>
    </row>
    <row r="63" spans="1:5">
      <c r="A63" s="11">
        <v>40756</v>
      </c>
      <c r="B63" s="9">
        <v>1787530</v>
      </c>
      <c r="C63" s="9">
        <v>116765</v>
      </c>
      <c r="D63" s="9">
        <v>548864</v>
      </c>
      <c r="E63" s="24">
        <f t="shared" si="0"/>
        <v>4.7005866483963512</v>
      </c>
    </row>
    <row r="64" spans="1:5">
      <c r="A64" s="11">
        <v>40757</v>
      </c>
      <c r="B64" s="9">
        <v>1788197</v>
      </c>
      <c r="C64" s="9">
        <v>116692</v>
      </c>
      <c r="D64" s="9">
        <v>532480</v>
      </c>
      <c r="E64" s="24">
        <f t="shared" si="0"/>
        <v>4.5631234360538855</v>
      </c>
    </row>
    <row r="65" spans="1:5">
      <c r="A65" s="11">
        <v>40758</v>
      </c>
      <c r="B65" s="9">
        <v>1787630</v>
      </c>
      <c r="C65" s="9">
        <v>117193</v>
      </c>
      <c r="D65" s="9">
        <v>524288</v>
      </c>
      <c r="E65" s="24">
        <f t="shared" si="0"/>
        <v>4.4737143003421709</v>
      </c>
    </row>
    <row r="66" spans="1:5">
      <c r="A66" s="11">
        <v>40759</v>
      </c>
      <c r="B66" s="9">
        <v>1787665</v>
      </c>
      <c r="C66" s="9">
        <v>117389</v>
      </c>
      <c r="D66" s="9">
        <v>483328</v>
      </c>
      <c r="E66" s="24">
        <f t="shared" si="0"/>
        <v>4.1173193399722292</v>
      </c>
    </row>
    <row r="67" spans="1:5">
      <c r="A67" s="11">
        <v>40760</v>
      </c>
      <c r="B67" s="9">
        <v>1794452</v>
      </c>
      <c r="C67" s="9">
        <v>117658</v>
      </c>
      <c r="D67" s="9">
        <v>540672</v>
      </c>
      <c r="E67" s="24">
        <f t="shared" si="0"/>
        <v>4.595284638528617</v>
      </c>
    </row>
    <row r="68" spans="1:5">
      <c r="A68" s="11">
        <v>40761</v>
      </c>
      <c r="B68" s="9">
        <v>1800985</v>
      </c>
      <c r="C68" s="9">
        <v>115900</v>
      </c>
      <c r="D68" s="9">
        <v>524288</v>
      </c>
      <c r="E68" s="24">
        <f t="shared" ref="E68:E126" si="1">D68/C68</f>
        <v>4.523623813632442</v>
      </c>
    </row>
    <row r="69" spans="1:5">
      <c r="A69" s="11">
        <v>40762</v>
      </c>
      <c r="B69" s="9">
        <v>1803522</v>
      </c>
      <c r="C69" s="9">
        <v>116539</v>
      </c>
      <c r="D69" s="9">
        <v>483328</v>
      </c>
      <c r="E69" s="24">
        <f t="shared" si="1"/>
        <v>4.1473498142252812</v>
      </c>
    </row>
    <row r="70" spans="1:5">
      <c r="A70" s="11">
        <v>40763</v>
      </c>
      <c r="B70" s="9">
        <v>1804151</v>
      </c>
      <c r="C70" s="9">
        <v>117783</v>
      </c>
      <c r="D70" s="9">
        <v>532480</v>
      </c>
      <c r="E70" s="24">
        <f t="shared" si="1"/>
        <v>4.5208561507178455</v>
      </c>
    </row>
    <row r="71" spans="1:5">
      <c r="A71" s="11">
        <v>40764</v>
      </c>
      <c r="B71" s="9">
        <v>1802872</v>
      </c>
      <c r="C71" s="9">
        <v>117854</v>
      </c>
      <c r="D71" s="9">
        <v>573440</v>
      </c>
      <c r="E71" s="24">
        <f t="shared" si="1"/>
        <v>4.8656812666519595</v>
      </c>
    </row>
    <row r="72" spans="1:5">
      <c r="A72" s="11">
        <v>40765</v>
      </c>
      <c r="B72" s="9">
        <v>1805208</v>
      </c>
      <c r="C72" s="9">
        <v>118191</v>
      </c>
      <c r="D72" s="9">
        <v>573440</v>
      </c>
      <c r="E72" s="24">
        <f t="shared" si="1"/>
        <v>4.8518076672504673</v>
      </c>
    </row>
    <row r="73" spans="1:5">
      <c r="A73" s="11">
        <v>40766</v>
      </c>
      <c r="B73" s="9">
        <v>1806463</v>
      </c>
      <c r="C73" s="9">
        <v>118359</v>
      </c>
      <c r="D73" s="9">
        <v>532480</v>
      </c>
      <c r="E73" s="24">
        <f t="shared" si="1"/>
        <v>4.4988551778909924</v>
      </c>
    </row>
    <row r="74" spans="1:5">
      <c r="A74" s="11">
        <v>40767</v>
      </c>
      <c r="B74" s="9">
        <v>1808870</v>
      </c>
      <c r="C74" s="9">
        <v>117063</v>
      </c>
      <c r="D74" s="9">
        <v>557056</v>
      </c>
      <c r="E74" s="24">
        <f t="shared" si="1"/>
        <v>4.758600070047752</v>
      </c>
    </row>
    <row r="75" spans="1:5">
      <c r="A75" s="11">
        <v>40768</v>
      </c>
      <c r="B75" s="9">
        <v>1811780</v>
      </c>
      <c r="C75" s="9">
        <v>112654</v>
      </c>
      <c r="D75" s="9">
        <v>532480</v>
      </c>
      <c r="E75" s="24">
        <f t="shared" si="1"/>
        <v>4.7266852486374207</v>
      </c>
    </row>
    <row r="76" spans="1:5">
      <c r="A76" s="11">
        <v>40769</v>
      </c>
      <c r="B76" s="9">
        <v>1806806</v>
      </c>
      <c r="C76" s="9">
        <v>113192</v>
      </c>
      <c r="D76" s="9">
        <v>524288</v>
      </c>
      <c r="E76" s="24">
        <f t="shared" si="1"/>
        <v>4.631846773623578</v>
      </c>
    </row>
    <row r="77" spans="1:5">
      <c r="A77" s="11">
        <v>40770</v>
      </c>
      <c r="B77" s="9">
        <v>1805403</v>
      </c>
      <c r="C77" s="9">
        <v>117343</v>
      </c>
      <c r="D77" s="9">
        <v>540672</v>
      </c>
      <c r="E77" s="24">
        <f t="shared" si="1"/>
        <v>4.6076203949106462</v>
      </c>
    </row>
    <row r="78" spans="1:5">
      <c r="A78" s="11">
        <v>40771</v>
      </c>
      <c r="B78" s="9">
        <v>1803815</v>
      </c>
      <c r="C78" s="9">
        <v>117482</v>
      </c>
      <c r="D78" s="9">
        <v>557056</v>
      </c>
      <c r="E78" s="24">
        <f t="shared" si="1"/>
        <v>4.7416285047922235</v>
      </c>
    </row>
    <row r="79" spans="1:5">
      <c r="A79" s="11">
        <v>40772</v>
      </c>
      <c r="B79" s="9">
        <v>1801088</v>
      </c>
      <c r="C79" s="9">
        <v>118227</v>
      </c>
      <c r="D79" s="9">
        <v>536000</v>
      </c>
      <c r="E79" s="24">
        <f t="shared" si="1"/>
        <v>4.5336513655933075</v>
      </c>
    </row>
    <row r="80" spans="1:5">
      <c r="A80" s="11">
        <v>40773</v>
      </c>
      <c r="B80" s="9">
        <v>1805823</v>
      </c>
      <c r="C80" s="9">
        <v>116504</v>
      </c>
      <c r="D80" s="9">
        <v>584000</v>
      </c>
      <c r="E80" s="24">
        <f t="shared" si="1"/>
        <v>5.012703426491794</v>
      </c>
    </row>
    <row r="81" spans="1:5">
      <c r="A81" s="11">
        <v>40774</v>
      </c>
      <c r="B81" s="9">
        <v>1805416</v>
      </c>
      <c r="C81" s="9">
        <v>117645</v>
      </c>
      <c r="D81" s="9">
        <v>560000</v>
      </c>
      <c r="E81" s="24">
        <f t="shared" si="1"/>
        <v>4.7600833014577759</v>
      </c>
    </row>
    <row r="82" spans="1:5">
      <c r="A82" s="11">
        <v>40775</v>
      </c>
      <c r="B82" s="9">
        <v>1809719</v>
      </c>
      <c r="C82" s="9">
        <v>116891</v>
      </c>
      <c r="D82" s="9">
        <v>544000</v>
      </c>
      <c r="E82" s="24">
        <f t="shared" si="1"/>
        <v>4.6539083419596032</v>
      </c>
    </row>
    <row r="83" spans="1:5">
      <c r="A83" s="11">
        <v>40776</v>
      </c>
      <c r="B83" s="9">
        <v>1804456</v>
      </c>
      <c r="C83" s="9">
        <v>117184</v>
      </c>
      <c r="D83" s="9">
        <v>528000</v>
      </c>
      <c r="E83" s="24">
        <f t="shared" si="1"/>
        <v>4.5057345712725283</v>
      </c>
    </row>
    <row r="84" spans="1:5">
      <c r="A84" s="11">
        <v>40777</v>
      </c>
      <c r="B84" s="9">
        <v>1805604</v>
      </c>
      <c r="C84" s="9">
        <v>117964</v>
      </c>
      <c r="D84" s="9">
        <v>560000</v>
      </c>
      <c r="E84" s="24">
        <f t="shared" si="1"/>
        <v>4.7472110135295518</v>
      </c>
    </row>
    <row r="85" spans="1:5">
      <c r="A85" s="11">
        <v>40778</v>
      </c>
      <c r="B85" s="9">
        <v>1804467</v>
      </c>
      <c r="C85" s="9">
        <v>117453</v>
      </c>
      <c r="D85" s="9">
        <v>592000</v>
      </c>
      <c r="E85" s="24">
        <f t="shared" si="1"/>
        <v>5.0403139979396014</v>
      </c>
    </row>
    <row r="86" spans="1:5">
      <c r="A86" s="11">
        <v>40779</v>
      </c>
      <c r="B86" s="9">
        <v>1804046</v>
      </c>
      <c r="C86" s="9">
        <v>117025</v>
      </c>
      <c r="D86" s="9">
        <v>568000</v>
      </c>
      <c r="E86" s="24">
        <f t="shared" si="1"/>
        <v>4.8536637470625932</v>
      </c>
    </row>
    <row r="87" spans="1:5">
      <c r="A87" s="11">
        <v>40780</v>
      </c>
      <c r="B87" s="9">
        <v>1805200</v>
      </c>
      <c r="C87" s="9">
        <v>117170</v>
      </c>
      <c r="D87" s="9">
        <v>576000</v>
      </c>
      <c r="E87" s="24">
        <f t="shared" si="1"/>
        <v>4.9159341128275154</v>
      </c>
    </row>
    <row r="88" spans="1:5">
      <c r="A88" s="11">
        <v>40781</v>
      </c>
      <c r="B88" s="9">
        <v>1803797</v>
      </c>
      <c r="C88" s="9">
        <v>117997</v>
      </c>
      <c r="D88" s="9">
        <v>576000</v>
      </c>
      <c r="E88" s="24">
        <f t="shared" si="1"/>
        <v>4.8814800376280756</v>
      </c>
    </row>
    <row r="89" spans="1:5">
      <c r="A89" s="11">
        <v>40782</v>
      </c>
      <c r="B89" s="9">
        <v>1803789</v>
      </c>
      <c r="C89" s="9">
        <v>116747</v>
      </c>
      <c r="D89" s="9">
        <v>560000</v>
      </c>
      <c r="E89" s="24">
        <f t="shared" si="1"/>
        <v>4.7966971314038052</v>
      </c>
    </row>
    <row r="90" spans="1:5">
      <c r="A90" s="11">
        <v>40783</v>
      </c>
      <c r="B90" s="9">
        <v>1801827</v>
      </c>
      <c r="C90" s="9">
        <v>117626</v>
      </c>
      <c r="D90" s="9">
        <v>520000</v>
      </c>
      <c r="E90" s="24">
        <f t="shared" si="1"/>
        <v>4.4207913216465746</v>
      </c>
    </row>
    <row r="91" spans="1:5">
      <c r="A91" s="11">
        <v>40784</v>
      </c>
      <c r="B91" s="9">
        <v>1803195</v>
      </c>
      <c r="C91" s="9">
        <v>117868</v>
      </c>
      <c r="D91" s="9">
        <v>564536</v>
      </c>
      <c r="E91" s="24">
        <f t="shared" si="1"/>
        <v>4.7895612040587778</v>
      </c>
    </row>
    <row r="92" spans="1:5">
      <c r="A92" s="11">
        <v>40785</v>
      </c>
      <c r="B92" s="9">
        <v>1799049</v>
      </c>
      <c r="C92" s="9">
        <v>118100</v>
      </c>
      <c r="D92" s="9">
        <v>513056</v>
      </c>
      <c r="E92" s="24">
        <f t="shared" si="1"/>
        <v>4.3442506350550385</v>
      </c>
    </row>
    <row r="93" spans="1:5">
      <c r="A93" s="11">
        <v>40786</v>
      </c>
      <c r="B93" s="9">
        <v>1798622</v>
      </c>
      <c r="C93" s="9">
        <v>118444</v>
      </c>
      <c r="D93" s="9">
        <v>526688</v>
      </c>
      <c r="E93" s="24">
        <f t="shared" si="1"/>
        <v>4.4467258788963564</v>
      </c>
    </row>
    <row r="94" spans="1:5">
      <c r="A94" s="11">
        <v>40787</v>
      </c>
      <c r="B94" s="9">
        <v>1798618</v>
      </c>
      <c r="C94" s="9">
        <v>117806</v>
      </c>
      <c r="D94" s="9">
        <v>539936</v>
      </c>
      <c r="E94" s="24">
        <f t="shared" si="1"/>
        <v>4.583264010322055</v>
      </c>
    </row>
    <row r="95" spans="1:5">
      <c r="A95" s="11">
        <v>40788</v>
      </c>
      <c r="B95" s="9">
        <v>1797921</v>
      </c>
      <c r="C95" s="9">
        <v>118793</v>
      </c>
      <c r="D95" s="9">
        <v>509880</v>
      </c>
      <c r="E95" s="24">
        <f t="shared" si="1"/>
        <v>4.2921720976825233</v>
      </c>
    </row>
    <row r="96" spans="1:5">
      <c r="A96" s="11">
        <v>40789</v>
      </c>
      <c r="B96" s="9">
        <v>1797777</v>
      </c>
      <c r="C96" s="9">
        <v>117694</v>
      </c>
      <c r="D96" s="9">
        <v>531624</v>
      </c>
      <c r="E96" s="24">
        <f t="shared" si="1"/>
        <v>4.5170017163151899</v>
      </c>
    </row>
    <row r="97" spans="1:5">
      <c r="A97" s="11">
        <v>40790</v>
      </c>
      <c r="B97" s="9">
        <v>1796322</v>
      </c>
      <c r="C97" s="9">
        <v>117813</v>
      </c>
      <c r="D97" s="9">
        <v>536512</v>
      </c>
      <c r="E97" s="24">
        <f t="shared" si="1"/>
        <v>4.5539286835917938</v>
      </c>
    </row>
    <row r="98" spans="1:5">
      <c r="A98" s="11">
        <v>40791</v>
      </c>
      <c r="B98" s="9">
        <v>1797735</v>
      </c>
      <c r="C98" s="9">
        <v>118587</v>
      </c>
      <c r="D98" s="9">
        <v>521504</v>
      </c>
      <c r="E98" s="24">
        <f t="shared" si="1"/>
        <v>4.3976489834467518</v>
      </c>
    </row>
    <row r="99" spans="1:5">
      <c r="A99" s="11">
        <v>40792</v>
      </c>
      <c r="B99" s="9">
        <v>1798855</v>
      </c>
      <c r="C99" s="9">
        <v>117660</v>
      </c>
      <c r="D99" s="9">
        <v>543016</v>
      </c>
      <c r="E99" s="24">
        <f t="shared" si="1"/>
        <v>4.6151283358830533</v>
      </c>
    </row>
    <row r="100" spans="1:5">
      <c r="A100" s="11">
        <v>40793</v>
      </c>
      <c r="B100" s="9">
        <v>1798364</v>
      </c>
      <c r="C100" s="9">
        <v>117559</v>
      </c>
      <c r="D100" s="9">
        <v>529136</v>
      </c>
      <c r="E100" s="24">
        <f t="shared" si="1"/>
        <v>4.5010250172253929</v>
      </c>
    </row>
    <row r="101" spans="1:5">
      <c r="A101" s="11">
        <v>40794</v>
      </c>
      <c r="B101" s="9">
        <v>1797021</v>
      </c>
      <c r="C101" s="9">
        <v>117990</v>
      </c>
      <c r="D101" s="9">
        <v>555280</v>
      </c>
      <c r="E101" s="24">
        <f t="shared" si="1"/>
        <v>4.7061615391134843</v>
      </c>
    </row>
    <row r="102" spans="1:5">
      <c r="A102" s="11">
        <v>40795</v>
      </c>
      <c r="B102" s="9">
        <v>1798341</v>
      </c>
      <c r="C102" s="9">
        <v>116993</v>
      </c>
      <c r="D102" s="9">
        <v>577912</v>
      </c>
      <c r="E102" s="24">
        <f t="shared" si="1"/>
        <v>4.9397143418837022</v>
      </c>
    </row>
    <row r="103" spans="1:5">
      <c r="A103" s="11">
        <v>40796</v>
      </c>
      <c r="B103" s="9">
        <v>1796778</v>
      </c>
      <c r="C103" s="9">
        <v>116824</v>
      </c>
      <c r="D103" s="9">
        <v>545808</v>
      </c>
      <c r="E103" s="24">
        <f t="shared" si="1"/>
        <v>4.6720536875984386</v>
      </c>
    </row>
    <row r="104" spans="1:5">
      <c r="A104" s="11">
        <v>40797</v>
      </c>
      <c r="B104" s="9">
        <v>1795196</v>
      </c>
      <c r="C104" s="9">
        <v>116665</v>
      </c>
      <c r="D104" s="9">
        <v>508448</v>
      </c>
      <c r="E104" s="24">
        <f t="shared" si="1"/>
        <v>4.3581879741139158</v>
      </c>
    </row>
    <row r="105" spans="1:5">
      <c r="A105" s="11">
        <v>40798</v>
      </c>
      <c r="B105" s="9">
        <v>1794329</v>
      </c>
      <c r="C105" s="9">
        <v>117040</v>
      </c>
      <c r="D105" s="9">
        <v>554024</v>
      </c>
      <c r="E105" s="24">
        <f t="shared" si="1"/>
        <v>4.7336295283663707</v>
      </c>
    </row>
    <row r="106" spans="1:5">
      <c r="A106" s="11">
        <v>40799</v>
      </c>
      <c r="B106" s="9">
        <v>1792886</v>
      </c>
      <c r="C106" s="9">
        <v>116752</v>
      </c>
      <c r="D106" s="9">
        <v>561432</v>
      </c>
      <c r="E106" s="24">
        <f t="shared" si="1"/>
        <v>4.8087570234342882</v>
      </c>
    </row>
    <row r="107" spans="1:5">
      <c r="A107" s="11">
        <v>40800</v>
      </c>
      <c r="B107" s="9">
        <v>1788905</v>
      </c>
      <c r="C107" s="9">
        <v>116705</v>
      </c>
      <c r="D107" s="9">
        <v>566664</v>
      </c>
      <c r="E107" s="24">
        <f t="shared" si="1"/>
        <v>4.8555246133413306</v>
      </c>
    </row>
    <row r="108" spans="1:5">
      <c r="A108" s="11">
        <v>40801</v>
      </c>
      <c r="B108" s="9">
        <v>1790336</v>
      </c>
      <c r="C108" s="9">
        <v>116505</v>
      </c>
      <c r="D108" s="9">
        <v>571936</v>
      </c>
      <c r="E108" s="24">
        <f t="shared" si="1"/>
        <v>4.9091111969443375</v>
      </c>
    </row>
    <row r="109" spans="1:5">
      <c r="A109" s="11">
        <v>40802</v>
      </c>
      <c r="B109" s="9">
        <v>1793517</v>
      </c>
      <c r="C109" s="9">
        <v>116037</v>
      </c>
      <c r="D109" s="9">
        <v>559440</v>
      </c>
      <c r="E109" s="24">
        <f t="shared" si="1"/>
        <v>4.821220817497867</v>
      </c>
    </row>
    <row r="110" spans="1:5">
      <c r="A110" s="11">
        <v>40803</v>
      </c>
      <c r="B110" s="9">
        <v>1792344</v>
      </c>
      <c r="C110" s="9">
        <v>114912</v>
      </c>
      <c r="D110" s="9">
        <v>567176</v>
      </c>
      <c r="E110" s="24">
        <f t="shared" si="1"/>
        <v>4.935742133110554</v>
      </c>
    </row>
    <row r="111" spans="1:5">
      <c r="A111" s="11">
        <v>40804</v>
      </c>
      <c r="B111" s="9">
        <v>1789174</v>
      </c>
      <c r="C111" s="9">
        <v>116288</v>
      </c>
      <c r="D111" s="9">
        <v>495376</v>
      </c>
      <c r="E111" s="24">
        <f t="shared" si="1"/>
        <v>4.2599064391854702</v>
      </c>
    </row>
    <row r="112" spans="1:5">
      <c r="A112" s="11">
        <v>40805</v>
      </c>
      <c r="B112" s="9">
        <v>1801219</v>
      </c>
      <c r="C112" s="9">
        <v>115657</v>
      </c>
      <c r="D112" s="9">
        <v>638992</v>
      </c>
      <c r="E112" s="24">
        <f t="shared" si="1"/>
        <v>5.5248882471445739</v>
      </c>
    </row>
    <row r="113" spans="1:5">
      <c r="A113" s="11">
        <v>40806</v>
      </c>
      <c r="B113" s="9">
        <v>1805420</v>
      </c>
      <c r="C113" s="9">
        <v>114498</v>
      </c>
      <c r="D113" s="9">
        <v>628592</v>
      </c>
      <c r="E113" s="24">
        <f t="shared" si="1"/>
        <v>5.4899823577704412</v>
      </c>
    </row>
    <row r="114" spans="1:5">
      <c r="A114" s="11">
        <v>40807</v>
      </c>
      <c r="B114" s="9">
        <v>1805420</v>
      </c>
      <c r="C114" s="9">
        <v>114498</v>
      </c>
      <c r="D114" s="9">
        <v>641368</v>
      </c>
      <c r="E114" s="24">
        <f t="shared" si="1"/>
        <v>5.6015650928400493</v>
      </c>
    </row>
    <row r="115" spans="1:5">
      <c r="A115" s="11">
        <v>40808</v>
      </c>
      <c r="B115" s="9">
        <v>1809795</v>
      </c>
      <c r="C115" s="9">
        <v>114171</v>
      </c>
      <c r="D115" s="9">
        <v>614568</v>
      </c>
      <c r="E115" s="24">
        <f t="shared" si="1"/>
        <v>5.3828730588328035</v>
      </c>
    </row>
    <row r="116" spans="1:5">
      <c r="A116" s="11">
        <v>40809</v>
      </c>
      <c r="B116" s="9">
        <v>1806463</v>
      </c>
      <c r="C116" s="9">
        <v>113755</v>
      </c>
      <c r="D116" s="9">
        <v>624816</v>
      </c>
      <c r="E116" s="24">
        <f t="shared" si="1"/>
        <v>5.4926464770779306</v>
      </c>
    </row>
    <row r="117" spans="1:5">
      <c r="A117" s="11">
        <v>40810</v>
      </c>
      <c r="B117" s="9">
        <v>1807115</v>
      </c>
      <c r="C117" s="9">
        <v>111415</v>
      </c>
      <c r="D117" s="9">
        <v>535432</v>
      </c>
      <c r="E117" s="24">
        <f t="shared" si="1"/>
        <v>4.8057442893685769</v>
      </c>
    </row>
    <row r="118" spans="1:5">
      <c r="A118" s="11">
        <v>40811</v>
      </c>
      <c r="B118" s="9">
        <v>1811824</v>
      </c>
      <c r="C118" s="9">
        <v>101802</v>
      </c>
      <c r="D118" s="9">
        <v>512376</v>
      </c>
      <c r="E118" s="24">
        <f t="shared" si="1"/>
        <v>5.0330641834148642</v>
      </c>
    </row>
    <row r="119" spans="1:5">
      <c r="A119" s="11">
        <v>40812</v>
      </c>
      <c r="B119" s="9">
        <v>1798526</v>
      </c>
      <c r="C119" s="9">
        <v>85586</v>
      </c>
      <c r="D119" s="9">
        <v>501912</v>
      </c>
      <c r="E119" s="24">
        <f t="shared" si="1"/>
        <v>5.8644170775594135</v>
      </c>
    </row>
    <row r="120" spans="1:5">
      <c r="A120" s="11">
        <v>40813</v>
      </c>
      <c r="B120" s="9">
        <v>1776977</v>
      </c>
      <c r="C120" s="9">
        <v>86038</v>
      </c>
      <c r="D120" s="9">
        <v>507096</v>
      </c>
      <c r="E120" s="24">
        <f t="shared" si="1"/>
        <v>5.8938608521815938</v>
      </c>
    </row>
    <row r="121" spans="1:5">
      <c r="A121" s="11">
        <v>40814</v>
      </c>
      <c r="B121" s="9">
        <v>1769433</v>
      </c>
      <c r="C121" s="9">
        <v>97911</v>
      </c>
      <c r="D121" s="9">
        <v>543520</v>
      </c>
      <c r="E121" s="24">
        <f t="shared" si="1"/>
        <v>5.5511638120333773</v>
      </c>
    </row>
    <row r="122" spans="1:5">
      <c r="A122" s="11">
        <v>40815</v>
      </c>
      <c r="B122" s="9">
        <v>1775118</v>
      </c>
      <c r="C122" s="9">
        <v>107472</v>
      </c>
      <c r="D122" s="9">
        <v>564784</v>
      </c>
      <c r="E122" s="24">
        <f t="shared" si="1"/>
        <v>5.2551734405240431</v>
      </c>
    </row>
    <row r="123" spans="1:5">
      <c r="A123" s="11">
        <v>40816</v>
      </c>
      <c r="B123" s="9">
        <v>1779581</v>
      </c>
      <c r="C123" s="9">
        <v>112080</v>
      </c>
      <c r="D123" s="9">
        <v>596112</v>
      </c>
      <c r="E123" s="24">
        <f t="shared" si="1"/>
        <v>5.3186295503211989</v>
      </c>
    </row>
    <row r="124" spans="1:5">
      <c r="A124" s="11">
        <v>40817</v>
      </c>
      <c r="B124" s="9">
        <v>1780356</v>
      </c>
      <c r="C124" s="9">
        <v>114728</v>
      </c>
      <c r="D124" s="9">
        <v>597328</v>
      </c>
      <c r="E124" s="24">
        <f t="shared" si="1"/>
        <v>5.206470957394882</v>
      </c>
    </row>
    <row r="125" spans="1:5">
      <c r="A125" s="11">
        <v>40818</v>
      </c>
      <c r="B125" s="9">
        <v>1781007</v>
      </c>
      <c r="C125" s="9">
        <v>116178</v>
      </c>
      <c r="D125" s="9">
        <v>593824</v>
      </c>
      <c r="E125" s="24">
        <f t="shared" si="1"/>
        <v>5.1113291673122276</v>
      </c>
    </row>
    <row r="126" spans="1:5">
      <c r="A126" s="11">
        <v>40819</v>
      </c>
      <c r="B126" s="9">
        <v>1784419</v>
      </c>
      <c r="C126" s="9">
        <v>117549</v>
      </c>
      <c r="D126" s="9">
        <v>584144</v>
      </c>
      <c r="E126" s="24">
        <f t="shared" si="1"/>
        <v>4.9693659665331049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5:E19"/>
  <sheetViews>
    <sheetView tabSelected="1" workbookViewId="0">
      <selection activeCell="D24" sqref="D24"/>
    </sheetView>
  </sheetViews>
  <sheetFormatPr defaultRowHeight="15"/>
  <cols>
    <col min="1" max="1" width="50" bestFit="1" customWidth="1"/>
    <col min="2" max="2" width="17.28515625" bestFit="1" customWidth="1"/>
    <col min="3" max="3" width="10.42578125" bestFit="1" customWidth="1"/>
    <col min="4" max="4" width="10.5703125" customWidth="1"/>
    <col min="5" max="5" width="17.5703125" bestFit="1" customWidth="1"/>
  </cols>
  <sheetData>
    <row r="5" spans="1:5" ht="16.5" thickBot="1">
      <c r="A5" s="18" t="s">
        <v>37</v>
      </c>
      <c r="B5" s="18" t="s">
        <v>47</v>
      </c>
      <c r="C5" s="34">
        <v>40825</v>
      </c>
      <c r="D5" s="34"/>
      <c r="E5" s="25" t="s">
        <v>48</v>
      </c>
    </row>
    <row r="6" spans="1:5" ht="15.75">
      <c r="A6" s="19" t="s">
        <v>38</v>
      </c>
      <c r="B6" s="26">
        <v>3456000</v>
      </c>
      <c r="C6" s="37">
        <v>1788884</v>
      </c>
      <c r="D6" s="35"/>
      <c r="E6" s="28">
        <v>3456000</v>
      </c>
    </row>
    <row r="7" spans="1:5" ht="15.75">
      <c r="A7" s="20" t="s">
        <v>39</v>
      </c>
      <c r="B7" s="26">
        <v>346000</v>
      </c>
      <c r="C7" s="37">
        <v>109041</v>
      </c>
      <c r="D7" s="35"/>
      <c r="E7" s="28">
        <v>346000</v>
      </c>
    </row>
    <row r="8" spans="1:5" ht="15.75">
      <c r="A8" s="20" t="s">
        <v>40</v>
      </c>
      <c r="B8" s="26">
        <v>35000</v>
      </c>
      <c r="C8" s="37">
        <v>18306</v>
      </c>
      <c r="D8" s="35"/>
      <c r="E8" s="28">
        <v>35000</v>
      </c>
    </row>
    <row r="9" spans="1:5" ht="15.75">
      <c r="A9" s="20" t="s">
        <v>50</v>
      </c>
      <c r="B9" s="26">
        <v>26</v>
      </c>
      <c r="C9" s="38">
        <v>104.15982222222222</v>
      </c>
      <c r="D9" s="33"/>
      <c r="E9" s="29">
        <v>186.624</v>
      </c>
    </row>
    <row r="10" spans="1:5" ht="15.75">
      <c r="A10" s="21" t="s">
        <v>41</v>
      </c>
      <c r="B10" s="27">
        <v>0.1</v>
      </c>
      <c r="C10" s="39">
        <f>C7/C6</f>
        <v>6.0954762857737002E-2</v>
      </c>
      <c r="D10" s="36"/>
      <c r="E10" s="30">
        <v>0.1</v>
      </c>
    </row>
    <row r="11" spans="1:5" ht="15.75">
      <c r="A11" s="21" t="s">
        <v>42</v>
      </c>
      <c r="B11" s="27">
        <v>0.1</v>
      </c>
      <c r="C11" s="39">
        <f>C8/C7</f>
        <v>0.16788180592621124</v>
      </c>
      <c r="D11" s="36"/>
      <c r="E11" s="30">
        <v>0.1</v>
      </c>
    </row>
    <row r="12" spans="1:5" ht="16.5" thickBot="1">
      <c r="A12" s="22" t="s">
        <v>43</v>
      </c>
      <c r="B12" s="26">
        <v>7.4999999999999997E-3</v>
      </c>
      <c r="C12" s="38">
        <f>C9/C6*1000</f>
        <v>5.8226146704997206E-2</v>
      </c>
      <c r="D12" s="33"/>
      <c r="E12" s="31">
        <v>5.3999999999999999E-2</v>
      </c>
    </row>
    <row r="13" spans="1:5" ht="15.75">
      <c r="A13" s="19" t="s">
        <v>44</v>
      </c>
      <c r="B13" s="26">
        <v>187000</v>
      </c>
      <c r="C13" s="37">
        <v>116469</v>
      </c>
      <c r="D13" s="35"/>
      <c r="E13" s="28">
        <v>187000</v>
      </c>
    </row>
    <row r="14" spans="1:5" ht="15.75">
      <c r="A14" s="23" t="s">
        <v>45</v>
      </c>
      <c r="B14" s="26">
        <v>75000</v>
      </c>
      <c r="C14" s="37">
        <v>52291</v>
      </c>
      <c r="D14" s="35"/>
      <c r="E14" s="28">
        <v>75000</v>
      </c>
    </row>
    <row r="15" spans="1:5" ht="15.75">
      <c r="A15" s="23" t="s">
        <v>46</v>
      </c>
      <c r="B15" s="26">
        <v>27000</v>
      </c>
      <c r="C15" s="37">
        <v>21923</v>
      </c>
      <c r="D15" s="35"/>
      <c r="E15" s="28">
        <v>27000</v>
      </c>
    </row>
    <row r="16" spans="1:5" ht="15.75">
      <c r="A16" s="23" t="s">
        <v>49</v>
      </c>
      <c r="B16" s="26">
        <v>748</v>
      </c>
      <c r="C16" s="38">
        <v>483.53151555555553</v>
      </c>
      <c r="D16" s="33"/>
      <c r="E16" s="32">
        <v>748</v>
      </c>
    </row>
    <row r="17" spans="1:5" ht="15.75">
      <c r="A17" s="21" t="s">
        <v>41</v>
      </c>
      <c r="B17" s="27">
        <v>0.6</v>
      </c>
      <c r="C17" s="39">
        <f>C14/C13</f>
        <v>0.44896925362113521</v>
      </c>
      <c r="D17" s="36"/>
      <c r="E17" s="30">
        <v>0.4</v>
      </c>
    </row>
    <row r="18" spans="1:5" ht="15.75">
      <c r="A18" s="21" t="s">
        <v>42</v>
      </c>
      <c r="B18" s="27">
        <v>0.5</v>
      </c>
      <c r="C18" s="39">
        <f>C15/C14</f>
        <v>0.41924996653343788</v>
      </c>
      <c r="D18" s="36"/>
      <c r="E18" s="30">
        <v>0.35</v>
      </c>
    </row>
    <row r="19" spans="1:5" ht="16.5" thickBot="1">
      <c r="A19" s="22" t="s">
        <v>43</v>
      </c>
      <c r="B19" s="26">
        <v>4</v>
      </c>
      <c r="C19" s="38">
        <f>C16/C13*1000</f>
        <v>4.1515898269544298</v>
      </c>
      <c r="D19" s="33"/>
      <c r="E19" s="31">
        <v>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Trend</vt:lpstr>
      <vt:lpstr>2N3G</vt:lpstr>
      <vt:lpstr>PSRule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dvisal</dc:creator>
  <cp:lastModifiedBy>dvisal</cp:lastModifiedBy>
  <dcterms:created xsi:type="dcterms:W3CDTF">2011-08-01T02:39:16Z</dcterms:created>
  <dcterms:modified xsi:type="dcterms:W3CDTF">2011-10-12T02:31:44Z</dcterms:modified>
</cp:coreProperties>
</file>